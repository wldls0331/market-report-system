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1.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3.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4.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5.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6.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7.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8.xml" ContentType="application/vnd.openxmlformats-officedocument.drawing+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19.xml" ContentType="application/vnd.openxmlformats-officedocument.drawing+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20.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21.xml" ContentType="application/vnd.openxmlformats-officedocument.drawing+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onyk\Desktop\HDF 업무 스터디\WEEKLY BUNKERING REPORT\2600811\"/>
    </mc:Choice>
  </mc:AlternateContent>
  <xr:revisionPtr revIDLastSave="0" documentId="13_ncr:1_{1BC879D7-C156-4CBE-AFDB-73F61C947276}" xr6:coauthVersionLast="47" xr6:coauthVersionMax="47" xr10:uidLastSave="{00000000-0000-0000-0000-000000000000}"/>
  <bookViews>
    <workbookView xWindow="57480" yWindow="-120" windowWidth="38640" windowHeight="15720" xr2:uid="{6EF670EB-BFA5-470E-BDCA-04884A45D844}"/>
  </bookViews>
  <sheets>
    <sheet name="26.08.11 보고자료" sheetId="29" r:id="rId1"/>
    <sheet name="26.08.04 보고자료" sheetId="28" r:id="rId2"/>
    <sheet name="26.06.09 보고자료" sheetId="27" r:id="rId3"/>
    <sheet name="26.06.02 보고자료" sheetId="26" r:id="rId4"/>
    <sheet name="26.05.25 보고자료 (수정중" sheetId="25" r:id="rId5"/>
    <sheet name="26.05.25 보고자료 (수정중)" sheetId="24" r:id="rId6"/>
    <sheet name="26.05.18 보고자료 (수정중)" sheetId="23" r:id="rId7"/>
    <sheet name="26.05.05 보고자료 (수정중)" sheetId="22" r:id="rId8"/>
    <sheet name="26.04.28 보고자료 (수정중)" sheetId="21" r:id="rId9"/>
    <sheet name="26.04.21 보고자료 (수정중)" sheetId="20" r:id="rId10"/>
    <sheet name="26.04.14 보고자료 (수정중)" sheetId="19" r:id="rId11"/>
    <sheet name="26.04.06 보고자료 (수정중)" sheetId="18" r:id="rId12"/>
    <sheet name="26.03.23 보고자료 (수정중)" sheetId="17" r:id="rId13"/>
    <sheet name="26.03.17 보고자료 (수정중)" sheetId="16" r:id="rId14"/>
    <sheet name="26.03.03 보고자료 (수정중)" sheetId="15" r:id="rId15"/>
    <sheet name="26.02.24 보고자료 (수정중)" sheetId="14" r:id="rId16"/>
    <sheet name="26.02.10 보고자료 (수정중)" sheetId="13" r:id="rId17"/>
    <sheet name="26.02.03 보고자료 (수정중)" sheetId="12" r:id="rId18"/>
    <sheet name="26.01.27 보고자료 (수정중)" sheetId="11" r:id="rId19"/>
    <sheet name="26.01.20 보고자료" sheetId="10" r:id="rId20"/>
    <sheet name="26.01.13 보고자료" sheetId="9"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6" i="29" l="1"/>
  <c r="AH26" i="29"/>
  <c r="AG26" i="29"/>
  <c r="AI25" i="29"/>
  <c r="AH25" i="29"/>
  <c r="AG25" i="29"/>
  <c r="AI24" i="29"/>
  <c r="AH24" i="29"/>
  <c r="AG24" i="29"/>
  <c r="AI28" i="29" l="1"/>
  <c r="AH28" i="29"/>
  <c r="AG28" i="29"/>
  <c r="AI27" i="29"/>
  <c r="AH27" i="29"/>
  <c r="AG27" i="29"/>
  <c r="AH27" i="28"/>
  <c r="AI26" i="28"/>
  <c r="AI28" i="28" s="1"/>
  <c r="AH26" i="28"/>
  <c r="AH28" i="28" s="1"/>
  <c r="AG26" i="28"/>
  <c r="AG28" i="28" s="1"/>
  <c r="AI25" i="28"/>
  <c r="AH25" i="28"/>
  <c r="AG25" i="28"/>
  <c r="AI24" i="28"/>
  <c r="AH24" i="28"/>
  <c r="AG24" i="28"/>
  <c r="AI28" i="27"/>
  <c r="AH28" i="27"/>
  <c r="AG28" i="27"/>
  <c r="AI27" i="27"/>
  <c r="AH27" i="27"/>
  <c r="AG27" i="27"/>
  <c r="AI26" i="27"/>
  <c r="AI25" i="27"/>
  <c r="AI24" i="27"/>
  <c r="AH26" i="27"/>
  <c r="AH25" i="27"/>
  <c r="AH24" i="27"/>
  <c r="AG26" i="27"/>
  <c r="AG25" i="27"/>
  <c r="AG24" i="27"/>
  <c r="AF21" i="26"/>
  <c r="AF24" i="26"/>
  <c r="AF23" i="26"/>
  <c r="AF22" i="26"/>
  <c r="AF20" i="26"/>
  <c r="AF19" i="26"/>
  <c r="AF18" i="26"/>
  <c r="AF18" i="25"/>
  <c r="AF19" i="25"/>
  <c r="AF20" i="25"/>
  <c r="AF22" i="25"/>
  <c r="AF23" i="25"/>
  <c r="AF24" i="25"/>
  <c r="AI27" i="28" l="1"/>
  <c r="AG27" i="28"/>
  <c r="AF24" i="24"/>
  <c r="AF23" i="24"/>
  <c r="AF22" i="24"/>
  <c r="AF20" i="24"/>
  <c r="AF19" i="24"/>
  <c r="AF18" i="24"/>
  <c r="AF24" i="23"/>
  <c r="AF23" i="23"/>
  <c r="AF22" i="23"/>
  <c r="AF20" i="23"/>
  <c r="AF19" i="23"/>
  <c r="AF18" i="23"/>
  <c r="AF24" i="22"/>
  <c r="AF23" i="22"/>
  <c r="AF22" i="22"/>
  <c r="AF20" i="22"/>
  <c r="AF19" i="22"/>
  <c r="AF18" i="22"/>
  <c r="AF24" i="21"/>
  <c r="AF22" i="21"/>
  <c r="AF19" i="21"/>
  <c r="AF18" i="21"/>
  <c r="AF23" i="21"/>
  <c r="AF20" i="21"/>
</calcChain>
</file>

<file path=xl/sharedStrings.xml><?xml version="1.0" encoding="utf-8"?>
<sst xmlns="http://schemas.openxmlformats.org/spreadsheetml/2006/main" count="1235" uniqueCount="372">
  <si>
    <t>Singapore</t>
    <phoneticPr fontId="1" type="noConversion"/>
  </si>
  <si>
    <t>Korea-South</t>
    <phoneticPr fontId="1" type="noConversion"/>
  </si>
  <si>
    <t>Nagoya</t>
    <phoneticPr fontId="1" type="noConversion"/>
  </si>
  <si>
    <t>Zhoushan</t>
    <phoneticPr fontId="1" type="noConversion"/>
  </si>
  <si>
    <t>Port</t>
    <phoneticPr fontId="1" type="noConversion"/>
  </si>
  <si>
    <t>SK</t>
    <phoneticPr fontId="1" type="noConversion"/>
  </si>
  <si>
    <t>SOIL</t>
    <phoneticPr fontId="1" type="noConversion"/>
  </si>
  <si>
    <t>GS</t>
    <phoneticPr fontId="1" type="noConversion"/>
  </si>
  <si>
    <t>금주 예상</t>
    <phoneticPr fontId="1" type="noConversion"/>
  </si>
  <si>
    <t>-S-OIL: 130k MT/month</t>
    <phoneticPr fontId="1" type="noConversion"/>
  </si>
  <si>
    <t>-IDEMITSU: 40k MT/month</t>
    <phoneticPr fontId="1" type="noConversion"/>
  </si>
  <si>
    <t>-Korea: VLSFO/LSMGO availability is generally good with 2–5 day lead times, but HSFO is tighter;</t>
    <phoneticPr fontId="1" type="noConversion"/>
  </si>
  <si>
    <t xml:space="preserve"> Winter weather may disrupt operations at Busan/Ulsan (9th–14th Jan), Yeosu &amp; Daesan (9th–13th Jan)—this can widen EDD and lift premiums short-notice.</t>
    <phoneticPr fontId="1" type="noConversion"/>
  </si>
  <si>
    <t>-Japan: VLSFO remains very tight across major ports (including Nagoya), HSFO also tight so that promp delivery is difficult. LSMGO is comparatively stable.</t>
    <phoneticPr fontId="1" type="noConversion"/>
  </si>
  <si>
    <t>-China: Zhoushan lead times are 5–8 day for all types of FO &amp; GO ; Shanghai has still limited VLSFO/HSFO but stable LSMGO.</t>
    <phoneticPr fontId="1" type="noConversion"/>
  </si>
  <si>
    <t>-</t>
    <phoneticPr fontId="1" type="noConversion"/>
  </si>
  <si>
    <t>※ Korea Bunker Market</t>
    <phoneticPr fontId="1" type="noConversion"/>
  </si>
  <si>
    <t>※ Strategy for this week</t>
    <phoneticPr fontId="1" type="noConversion"/>
  </si>
  <si>
    <t>※ Korea Refineries-VLSFO sales assumption for JAN</t>
    <phoneticPr fontId="1" type="noConversion"/>
  </si>
  <si>
    <t>-VLSFO: Focusing on high-margin stems to maximize profit by selling VIS 180CST</t>
    <phoneticPr fontId="1" type="noConversion"/>
  </si>
  <si>
    <t>※ Wordwide Market for 12nd -16th JAN</t>
    <phoneticPr fontId="1" type="noConversion"/>
  </si>
  <si>
    <t>HyunDai</t>
    <phoneticPr fontId="1" type="noConversion"/>
  </si>
  <si>
    <t xml:space="preserve">=&gt; This week, should (1) prioritize prompt VLSFO/LSMGO sales where supply is available (Korea/Singapore/China), (2) secure HSFO orders early </t>
    <phoneticPr fontId="1" type="noConversion"/>
  </si>
  <si>
    <t xml:space="preserve">     and allocate limited HSFO/VLSFO volumes to higher-margin, short-notice stems—especially as Korea/Japan tightness and weather risks may widen EDD and lift premiums.</t>
    <phoneticPr fontId="1" type="noConversion"/>
  </si>
  <si>
    <t>This week assumption (JAN)</t>
    <phoneticPr fontId="1" type="noConversion"/>
  </si>
  <si>
    <t>dsds</t>
    <phoneticPr fontId="1" type="noConversion"/>
  </si>
  <si>
    <t>-Singapore: VLSFO lead times are 2–7 day, LSMGO can deliver promptly, but HSFO remains tight (8–11 day lead times)—better to order early, especially for HSFO.</t>
    <phoneticPr fontId="1" type="noConversion"/>
  </si>
  <si>
    <t>-GS: 25k MT/month</t>
    <phoneticPr fontId="1" type="noConversion"/>
  </si>
  <si>
    <t xml:space="preserve">-SK: 250–300k MT/month </t>
    <phoneticPr fontId="1" type="noConversion"/>
  </si>
  <si>
    <t>-VLSFO: As of yesterday, Korea price was USD 25–30/MT higher than Sg and USD 10/MT lower than China (Best offer from refineries at MOPS WMA+USD 40~45/MT).</t>
    <phoneticPr fontId="1" type="noConversion"/>
  </si>
  <si>
    <t>-HDO: 140~160k MT/month (80~90kt at South)</t>
    <phoneticPr fontId="1" type="noConversion"/>
  </si>
  <si>
    <t>-HSFO: Korea price was USD 40~45/MT higher than Sg and USD 20~25/MT higher than China (Best offer from refineries at MOPS WMA + USD 55/MT).</t>
    <phoneticPr fontId="1" type="noConversion"/>
  </si>
  <si>
    <t>-LSMGO: The best level was WMA+USD 1~1.5/BBL, which was USD 5/MT lower than Singapore / USD 40/MT lower than China.</t>
    <phoneticPr fontId="1" type="noConversion"/>
  </si>
  <si>
    <t xml:space="preserve">-LSMGO: Sourcing cheaper barrels to lift margins as both HDO and IDEMITSU improving gradually.  </t>
    <phoneticPr fontId="1" type="noConversion"/>
  </si>
  <si>
    <t>-HSFO: To check spot avails with HDOB</t>
    <phoneticPr fontId="1" type="noConversion"/>
  </si>
  <si>
    <t>※ Wordwide Market for this week</t>
    <phoneticPr fontId="1" type="noConversion"/>
  </si>
  <si>
    <t xml:space="preserve">•	Price: Korea South VLSFO assessed at $505/mt (-$4 day on day); Korea West ($489/mt) stayed cheaper than South. </t>
    <phoneticPr fontId="1" type="noConversion"/>
  </si>
  <si>
    <t>•	Bad weather + tight barges disrupted supply; China’s worse weather moved some demand to Korea West Sea.</t>
    <phoneticPr fontId="1" type="noConversion"/>
  </si>
  <si>
    <t>•	Barge availability pushed back to Jan 25th; deals happened only at higher premiums.</t>
    <phoneticPr fontId="1" type="noConversion"/>
  </si>
  <si>
    <t>•	Korea premium is driven by tighter fuel oil supply; some expect it to be eased after Chinese Lunar New Year</t>
    <phoneticPr fontId="1" type="noConversion"/>
  </si>
  <si>
    <t>[Singapore]</t>
    <phoneticPr fontId="1" type="noConversion"/>
  </si>
  <si>
    <t>•	Price: Singapore VLSFO assessed at $445/mt (flat d/d); offers ranged between $441–$449/mt</t>
    <phoneticPr fontId="1" type="noConversion"/>
  </si>
  <si>
    <t>•	Lowest offers were tied to Jan 25–28 delivery onward; Prompt supply seems not very tight</t>
    <phoneticPr fontId="1" type="noConversion"/>
  </si>
  <si>
    <t>•	HSFO Supply is a bit tighter for prompt stems (before Jan 25).</t>
    <phoneticPr fontId="1" type="noConversion"/>
  </si>
  <si>
    <t>[China]</t>
    <phoneticPr fontId="1" type="noConversion"/>
  </si>
  <si>
    <t>•	China’s worse weather shifted some demand to Korea West Sea.</t>
    <phoneticPr fontId="1" type="noConversion"/>
  </si>
  <si>
    <t>•	Weather issues in China can affect regional demand and logistics.</t>
    <phoneticPr fontId="1" type="noConversion"/>
  </si>
  <si>
    <t>[Japan]</t>
    <phoneticPr fontId="1" type="noConversion"/>
  </si>
  <si>
    <t>•	Prices: Japan VLSFO assessed at $540/mt (flat); West Japan $508/mt (flat) → West stayed more expensive.</t>
    <phoneticPr fontId="1" type="noConversion"/>
  </si>
  <si>
    <t>•	VLSFO still remains very tight across major ports (including Nagoya), HSFO also tight so that prompt delivery is difficult. LSMGO is comparatively stable</t>
    <phoneticPr fontId="1" type="noConversion"/>
  </si>
  <si>
    <t>[South Korea – Southern]</t>
    <phoneticPr fontId="1" type="noConversion"/>
  </si>
  <si>
    <t>[Outlook &amp; Strategy for this week]</t>
    <phoneticPr fontId="1" type="noConversion"/>
  </si>
  <si>
    <t>•	In North Asia, weather and logistics can move delivered premiums fast (Korea LSFO premium over $68/mt mid-week).</t>
    <phoneticPr fontId="1" type="noConversion"/>
  </si>
  <si>
    <t>•	In Singapore, the market is steady, but prompt HSFO is slightly tight, supporting premiums</t>
    <phoneticPr fontId="1" type="noConversion"/>
  </si>
  <si>
    <t>•	Delivery dates are mostly late January so it is necessary to book barge slots earlier to reduce execution risk.</t>
    <phoneticPr fontId="1" type="noConversion"/>
  </si>
  <si>
    <t>•	We should keep focusing more on VIS 180cst sales for maximizing profits and utilizing products from domestic refineries and Idemitsu timely</t>
    <phoneticPr fontId="1" type="noConversion"/>
  </si>
  <si>
    <t>•Price: China Zhoushan VLSFO assessed at $460/mt (+$1 day on day)</t>
    <phoneticPr fontId="1" type="noConversion"/>
  </si>
  <si>
    <t>-VLSFO: As of yesterday, Korea price was USD XX–XX/MT higher than SG and USD XX/MT lower than China (Best offer from refineries at MOPS WMA+USD XX~XX/MT).</t>
    <phoneticPr fontId="1" type="noConversion"/>
  </si>
  <si>
    <t>-HSFO: Korea price was USD XX~XX/MT higher than SG and USD XX~XX/MT higher than China (Best offer from refineries at MOPS WMA + USD XX/MT).</t>
    <phoneticPr fontId="1" type="noConversion"/>
  </si>
  <si>
    <t>In Japan, prompt VLSFO availability remains constrained at major ports including Tokyo, Chiba, Yokohama and Kawasaki. Tight supply conditions are also persisting at Osaka, Kobe, Sakai, Mizushima, Nagoya and Yokkaichi, and are expected to continue through the end of January. By contrast, LSMGO supply remains generally stable across the country. B24-VLSFO is being supplied only on request at Tokyo, Chiba, Kawasaki and Yokohama.</t>
    <phoneticPr fontId="1" type="noConversion"/>
  </si>
  <si>
    <t>HSFO availability has also tightened at Tokyo, Chiba, Yokohama and Kawasaki, with lead times of about 5–7 days, while supply remains stable at most other Japanese ports. At Tokuyama, suppliers are currently short of VLSFO, although availability of both LSMGO and HSFO remains adequate.</t>
    <phoneticPr fontId="1" type="noConversion"/>
  </si>
  <si>
    <t>-Most suppliers are currently quoting lead times of around 4–7 days for all grades, which is shorter than the 6–10 days reported last week.</t>
    <phoneticPr fontId="1" type="noConversion"/>
  </si>
  <si>
    <t>-Ongoing winter conditions continue to pose a significant risk of operational disruptions across major ports.</t>
    <phoneticPr fontId="1" type="noConversion"/>
  </si>
  <si>
    <t>VLSFO availability has tightened further as several suppliers face loading congestion, increasing recommended lead times to 10–14 days.</t>
    <phoneticPr fontId="1" type="noConversion"/>
  </si>
  <si>
    <t>LSMGO remains readily available with lead times of 2–5 days, remaining largely unchanged from the previous week.</t>
    <phoneticPr fontId="1" type="noConversion"/>
  </si>
  <si>
    <t>HSFO supply continues to be tight and typically requires 8–12 days of advance notice, which is broadly in line with last week’s levels.</t>
    <phoneticPr fontId="1" type="noConversion"/>
  </si>
  <si>
    <t>-VLSFO availability has tightened as several suppliers are running low on stocks, causing lead times to lengthen to 7–10 days.</t>
    <phoneticPr fontId="1" type="noConversion"/>
  </si>
  <si>
    <t>-Demand remains subdued despite the tightening of the VLSFO market.</t>
    <phoneticPr fontId="1" type="noConversion"/>
  </si>
  <si>
    <t>-Lead times for LSMGO and HSFO remain unchanged at 5–7 days.</t>
    <phoneticPr fontId="1" type="noConversion"/>
  </si>
  <si>
    <t>-Prompt VLSFO availability remains constrained at major ports including Tokyo, Chiba, Yokohama, and Kawasaki.</t>
    <phoneticPr fontId="1" type="noConversion"/>
  </si>
  <si>
    <t>-LSMGO supply remains generally stable across the country.</t>
    <phoneticPr fontId="1" type="noConversion"/>
  </si>
  <si>
    <t>-Tight supply conditions are persisting at Osaka, Kobe, Sakai, Mizushima, Nagoya, and Yokkaichi and are expected to continue through the end of January.</t>
    <phoneticPr fontId="1" type="noConversion"/>
  </si>
  <si>
    <t>-Weather-related interruptions may affect operations in Busan and Ulsan between 24-28 January and potential disruptions are also expected in Yeosu between 20–28 January</t>
    <phoneticPr fontId="1" type="noConversion"/>
  </si>
  <si>
    <t>-VLSFO: As of yesterday, Korea price was USD 56–61/MT higher than SG and USD 46-51/MT lower than China .</t>
    <phoneticPr fontId="1" type="noConversion"/>
  </si>
  <si>
    <t xml:space="preserve">-HSFO: Korea price was USD 42~47/MT higher than SG and USD 32~37/MT higher than China </t>
    <phoneticPr fontId="1" type="noConversion"/>
  </si>
  <si>
    <t>[SPREAD TREND (BUNKER WIRE-MOPS SINGAPORE 0.5%]</t>
  </si>
  <si>
    <t>- In North Asia, weather and logistics can still move delivered premiums upward</t>
    <phoneticPr fontId="1" type="noConversion"/>
  </si>
  <si>
    <t>- In Singapore, better finalize orders at least 14 days in advance to bypass severe loading congestion and supply tightness especially for VLSFO and HSFO</t>
    <phoneticPr fontId="1" type="noConversion"/>
  </si>
  <si>
    <t>- Delivery dates are mostly late January, so it is necessary to book barge slots earlier to reduce execution risk</t>
    <phoneticPr fontId="1" type="noConversion"/>
  </si>
  <si>
    <t>- We should concentrate more on VIS 180cst sales for maximizing profits and utilizing products from domestic refineries and Idemitsu timely</t>
    <phoneticPr fontId="1" type="noConversion"/>
  </si>
  <si>
    <t>[Korea Major 4 Refiners – VLSFO Premium Trends (MOPS MF 0.5% WMA Basis)]</t>
  </si>
  <si>
    <t>[Worldwide Ports-VLSFO Bunker Price Trend]</t>
  </si>
  <si>
    <t>This week assumption (FEB)</t>
    <phoneticPr fontId="1" type="noConversion"/>
  </si>
  <si>
    <t>VLSFO supply has tightened further as terminal loading delays affect several suppliers, lifting recommended lead times to 12–14 days from 10–14 days last week.</t>
    <phoneticPr fontId="1" type="noConversion"/>
  </si>
  <si>
    <t>HSFO availability remains constrained, typically requiring 9–12 days of advance notice, broadly unchanged from last week’s 8–12 days.</t>
    <phoneticPr fontId="1" type="noConversion"/>
  </si>
  <si>
    <t>LSMGO supply has also tightened sharply, with lead times now at 7–9 days, up from 2–5 days last week.</t>
    <phoneticPr fontId="1" type="noConversion"/>
  </si>
  <si>
    <t>Persistent winter conditions continue to raise the risk of operational disruptions</t>
    <phoneticPr fontId="1" type="noConversion"/>
  </si>
  <si>
    <t>Weather-related interruptions may affect operations in Busan, Ulsan and Daesan until 4th Feb</t>
    <phoneticPr fontId="1" type="noConversion"/>
  </si>
  <si>
    <t>Prompt VLSFO availability remains extremely tight. Recommended lead times for major ports, including Nagoya, are 9–10 days.</t>
    <phoneticPr fontId="1" type="noConversion"/>
  </si>
  <si>
    <t>This supply crunch is expected to persist through the first half of February.</t>
    <phoneticPr fontId="1" type="noConversion"/>
  </si>
  <si>
    <t>VLSFO supply in Zhoushan remains under pressure due to ongoing constraints, with several suppliers now advising lead times extending into early February.</t>
    <phoneticPr fontId="1" type="noConversion"/>
  </si>
  <si>
    <t>HSFO availability has also tightened, with lead times lengthening from about 5–6 days last week, to early February at present.</t>
    <phoneticPr fontId="1" type="noConversion"/>
  </si>
  <si>
    <t>In Shanghai, both VLSFO and HSFO remain in limited supply, while LSMGO availability is stable.</t>
    <phoneticPr fontId="1" type="noConversion"/>
  </si>
  <si>
    <t>Most suppliers are currently quoting lead times of around 4–6 days for all grades amid low demand last week. But bunker inquiries start to increase yesterday</t>
    <phoneticPr fontId="1" type="noConversion"/>
  </si>
  <si>
    <t xml:space="preserve">-HSFO: Korea price was USD 25~30/MT higher than SG and USD 11~16/MT higher than China </t>
    <phoneticPr fontId="1" type="noConversion"/>
  </si>
  <si>
    <t>-VLSFO: As of yesterday, Korea price was USD 6-11/MT higher than SG and USD 2-7/MT lower than China</t>
    <phoneticPr fontId="1" type="noConversion"/>
  </si>
  <si>
    <t>※ Korea Refineries-VLSFO sales assumption for FEB</t>
    <phoneticPr fontId="1" type="noConversion"/>
  </si>
  <si>
    <t>[Worldwide Ports-VLSFO Bunker Price Trend]</t>
    <phoneticPr fontId="1" type="noConversion"/>
  </si>
  <si>
    <t>[SPREAD TREND (BUNKER WIRE-MOPS SINGAPORE 0.5%]</t>
    <phoneticPr fontId="1" type="noConversion"/>
  </si>
  <si>
    <t xml:space="preserve">-SK: 200k MT/month </t>
    <phoneticPr fontId="1" type="noConversion"/>
  </si>
  <si>
    <t xml:space="preserve">-HDO: 130k MT/month </t>
    <phoneticPr fontId="1" type="noConversion"/>
  </si>
  <si>
    <t>-GS: 20k MT/month</t>
    <phoneticPr fontId="1" type="noConversion"/>
  </si>
  <si>
    <t>-VLSFO: Focusing on high-margin stems to maximize profit by selling VIS 180CST, and trying to optimize term usage.</t>
    <phoneticPr fontId="1" type="noConversion"/>
  </si>
  <si>
    <t>-LSMGO: Sourcing cheaper barrels to lift margins as both HDO and IDEMITSU improving gradually. (Idemitsu avails from mid-Feb)</t>
    <phoneticPr fontId="1" type="noConversion"/>
  </si>
  <si>
    <t>-HSFO: Feb avails are becoming tight and need to optimize term &amp; spot usage</t>
    <phoneticPr fontId="1" type="noConversion"/>
  </si>
  <si>
    <t>-VLSFO: As of yesterday, Korea price was USD 23-28/MT higher than SG and USD 17-22/MT higher than China</t>
    <phoneticPr fontId="1" type="noConversion"/>
  </si>
  <si>
    <t xml:space="preserve">-HSFO: Korea price was USD 31~36/MT higher than SG and USD 8~17/MT higher than China </t>
    <phoneticPr fontId="1" type="noConversion"/>
  </si>
  <si>
    <t>-LSMGO: The best level was WMA+USD 1~1.5/BBL, which was USD 8/MT lower than Singapore / USD 4/MT lower than China.</t>
    <phoneticPr fontId="1" type="noConversion"/>
  </si>
  <si>
    <t>-Most suppliers are quoting lead times of around 3–8 days for all fuel grades amid subdued demand, compared with 4–6 days reported last week.</t>
    <phoneticPr fontId="1" type="noConversion"/>
  </si>
  <si>
    <t>-Ongoing winter conditions continue to heightening the risk of operational disruptions at major ports.</t>
    <phoneticPr fontId="1" type="noConversion"/>
  </si>
  <si>
    <t>-Bunkering activity is expected to stay subdued during the Lunar New Year (Seollal) holiday period (16–18 February) as barge operations are likely to be suspended.</t>
    <phoneticPr fontId="1" type="noConversion"/>
  </si>
  <si>
    <t>-VLSFO supply remains tight as terminal loading delays continue to affect several suppliers, causing some January bookings to roll into February.</t>
    <phoneticPr fontId="1" type="noConversion"/>
  </si>
  <si>
    <t>-Recommended lead times for VLSFO have widened to 10–18 days, compared with 12–14 days last week; this tightness is expected to persist through the first half of February.</t>
    <phoneticPr fontId="1" type="noConversion"/>
  </si>
  <si>
    <t>-HSFO availability remains constrained, typically requiring 9–12 days of advance notice.</t>
    <phoneticPr fontId="1" type="noConversion"/>
  </si>
  <si>
    <t>-VLSFO and HSFO supply remains tight in Zhoushan, while prompt LSMGO availability has improved with lead times lowering to 3–5 days (down from 5–7 days).</t>
    <phoneticPr fontId="1" type="noConversion"/>
  </si>
  <si>
    <t>-Despite the tight VLSFO supply, overall bunker demand in the port is reported as low.</t>
    <phoneticPr fontId="1" type="noConversion"/>
  </si>
  <si>
    <t>-Prompt VLSFO supply remains tight at major ports including Tokyo, Chiba, Yokohama, Kawasaki, Nagoya, and Yokkaichi, with recommended lead times of 7–10 days.</t>
    <phoneticPr fontId="1" type="noConversion"/>
  </si>
  <si>
    <t>-In contrast to the Tokyo Bay area, supply remains relatively steady at Osaka and Kobe.</t>
    <phoneticPr fontId="1" type="noConversion"/>
  </si>
  <si>
    <t>-LSMGO availability remains broadly stable across the country.</t>
    <phoneticPr fontId="1" type="noConversion"/>
  </si>
  <si>
    <t>-Total:</t>
    <phoneticPr fontId="1" type="noConversion"/>
  </si>
  <si>
    <t xml:space="preserve">2/10
This week assumption </t>
    <phoneticPr fontId="1" type="noConversion"/>
  </si>
  <si>
    <t>-Bunkering operations have fully resumed following the Lunar New Year holiday (Feb 16–18).</t>
    <phoneticPr fontId="1" type="noConversion"/>
  </si>
  <si>
    <t>-HSFO and LSMGO also face constraints, requiring at least 8 days and 6 days respectively.</t>
    <phoneticPr fontId="1" type="noConversion"/>
  </si>
  <si>
    <t>-Persistent VLSFO tightness continues to dominate the market.</t>
    <phoneticPr fontId="1" type="noConversion"/>
  </si>
  <si>
    <t>-With the tight VLSFO supply, overall bunker demand in the port is reported as getting higher.</t>
    <phoneticPr fontId="1" type="noConversion"/>
  </si>
  <si>
    <t>-Terminal congestion and heavily booked barge schedules have kept recommended lead times at 8–13 days.</t>
    <phoneticPr fontId="1" type="noConversion"/>
  </si>
  <si>
    <t>-VLSFO: As of yesterday, Korea price was USD 14-19/MT higher than SG and USD 8-13/MT higher than China</t>
    <phoneticPr fontId="1" type="noConversion"/>
  </si>
  <si>
    <t xml:space="preserve">-HSFO: Korea price was USD 42~47/MT higher than SG and USD 8~17/MT higher than China </t>
    <phoneticPr fontId="1" type="noConversion"/>
  </si>
  <si>
    <t>-Bunker demand across major South Korean ports remains relatively low or subdued, preventing a significant spike in lead times despite seasonal factors.</t>
    <phoneticPr fontId="1" type="noConversion"/>
  </si>
  <si>
    <t>-Harsh winter conditions continue to be a primary risk factor for operational disruptions, particularly for barge schedules.</t>
    <phoneticPr fontId="1" type="noConversion"/>
  </si>
  <si>
    <t>(FEB DELIVERY)</t>
    <phoneticPr fontId="1" type="noConversion"/>
  </si>
  <si>
    <t>(MAR DELIVERY)</t>
    <phoneticPr fontId="1" type="noConversion"/>
  </si>
  <si>
    <t>-Total: 520K/month</t>
    <phoneticPr fontId="1" type="noConversion"/>
  </si>
  <si>
    <t>-HSFO: Early March avails are becoming tight and need to optimize term &amp; spot usage</t>
    <phoneticPr fontId="1" type="noConversion"/>
  </si>
  <si>
    <t>-LSMGO: Sourcing cheaper barrels to lift margins as both HDO and IDEMITSU improving gradually. (Idemitsu avails from end-Feb)</t>
    <phoneticPr fontId="1" type="noConversion"/>
  </si>
  <si>
    <t xml:space="preserve">This week assumption </t>
    <phoneticPr fontId="1" type="noConversion"/>
  </si>
  <si>
    <r>
      <t xml:space="preserve">2026-02-09
</t>
    </r>
    <r>
      <rPr>
        <b/>
        <sz val="8"/>
        <color theme="1"/>
        <rFont val="맑은 고딕"/>
        <family val="3"/>
        <charset val="129"/>
        <scheme val="minor"/>
      </rPr>
      <t>(FEB DELIVERY)</t>
    </r>
    <phoneticPr fontId="1" type="noConversion"/>
  </si>
  <si>
    <r>
      <t xml:space="preserve">2026-02-16
</t>
    </r>
    <r>
      <rPr>
        <b/>
        <sz val="8"/>
        <color theme="1"/>
        <rFont val="맑은 고딕"/>
        <family val="3"/>
        <charset val="129"/>
        <scheme val="minor"/>
      </rPr>
      <t>(FEB DELIVERY)</t>
    </r>
    <phoneticPr fontId="1" type="noConversion"/>
  </si>
  <si>
    <r>
      <t xml:space="preserve">2026-02-23
</t>
    </r>
    <r>
      <rPr>
        <b/>
        <sz val="8"/>
        <color theme="1"/>
        <rFont val="맑은 고딕"/>
        <family val="3"/>
        <charset val="129"/>
        <scheme val="minor"/>
      </rPr>
      <t>(MAR DELIVERY)</t>
    </r>
    <phoneticPr fontId="1" type="noConversion"/>
  </si>
  <si>
    <t>-Prompt VLSFO availability remains extremely tight. Recommended lead times for major ports, including Nagoya, are 9–10 days.</t>
    <phoneticPr fontId="1" type="noConversion"/>
  </si>
  <si>
    <t xml:space="preserve">2026-03-02
</t>
    <phoneticPr fontId="1" type="noConversion"/>
  </si>
  <si>
    <t>-Bunkering prices have surged by $40–50/mt overnight due to geopolitical tensions in the Middle East.</t>
    <phoneticPr fontId="1" type="noConversion"/>
  </si>
  <si>
    <t>-Lead times are steady at 4–6 days. However, local prices are tracking the global upward trend following the Iran strikes.</t>
    <phoneticPr fontId="1" type="noConversion"/>
  </si>
  <si>
    <t>-Cold winter conditions likely be a risk factor for operational disruptions but being eased as it's getting warmer</t>
    <phoneticPr fontId="1" type="noConversion"/>
  </si>
  <si>
    <t>-VLSFO availability has improved slightly, with lead times easing to 6–10 days from the previous 12–14 days.</t>
    <phoneticPr fontId="1" type="noConversion"/>
  </si>
  <si>
    <t>-HSFO and LSMGO face constraints, requiring at least 8 days and 6 days respectively.</t>
    <phoneticPr fontId="1" type="noConversion"/>
  </si>
  <si>
    <t>-VLSFO: As of yesterday, Korea price was USD 13-19/MT higher than SG and USD 10-15/MT higher than China</t>
    <phoneticPr fontId="1" type="noConversion"/>
  </si>
  <si>
    <t>-Market conditions remain stable with some availability across all fuel grades</t>
    <phoneticPr fontId="1" type="noConversion"/>
  </si>
  <si>
    <t>※ Korea Refineries-VLSFO sales assumption for MAR</t>
    <phoneticPr fontId="1" type="noConversion"/>
  </si>
  <si>
    <t xml:space="preserve">-VLSFO: To monitor the stance of refineries as gradual tightness is expected under war situation, endeavouring to maximize the profit. </t>
    <phoneticPr fontId="1" type="noConversion"/>
  </si>
  <si>
    <t xml:space="preserve">-LSMGO: Premium is soaring more than other grades, endeavours to maximize profit basis largest bunker supplier Hyundai Oilbank. </t>
    <phoneticPr fontId="1" type="noConversion"/>
  </si>
  <si>
    <t>-HSFO: To maximize profit under both product &amp; barge tightness.</t>
    <phoneticPr fontId="1" type="noConversion"/>
  </si>
  <si>
    <t>-VLSFO: As of yesterday, Korea price was USD 220-230/MT higher than SG and USD 270-275/MT higher than China</t>
    <phoneticPr fontId="1" type="noConversion"/>
  </si>
  <si>
    <t xml:space="preserve">-HSFO: Korea price was USD 360-370/MT higher than SG and USD 320-325/MT higher than China </t>
    <phoneticPr fontId="1" type="noConversion"/>
  </si>
  <si>
    <t>-LSMGO: The best level was WMA+USD 36/BBL, which was USD 12/MT lower than Singapore / USD 16/MT lower than China.</t>
    <phoneticPr fontId="1" type="noConversion"/>
  </si>
  <si>
    <t>-Suppliers are increasingly reluctant to offer, and lead times have extended beyond 7 days.</t>
    <phoneticPr fontId="1" type="noConversion"/>
  </si>
  <si>
    <t>-This has been caused mainly by rising geopolitical tension due to outbreak of U.S and Iran war</t>
    <phoneticPr fontId="1" type="noConversion"/>
  </si>
  <si>
    <t xml:space="preserve">-Prices have reached record highs, with VLSFO exceeding $1,100/mt and LSMGO nearing $1,900/mt. </t>
    <phoneticPr fontId="1" type="noConversion"/>
  </si>
  <si>
    <t>-Availability has tightened significantly; lead times are now quoted at 10–15 days for VLSFO/HSFO and up to 22 days for LSMGO.</t>
    <phoneticPr fontId="1" type="noConversion"/>
  </si>
  <si>
    <t>-Comparatively more stable than other hubs due to increased Russian crude inflows. Recommended lead times have shifted to 5–10 days</t>
    <phoneticPr fontId="1" type="noConversion"/>
  </si>
  <si>
    <t>-Market is in a severe supply crunch. Major suppliers are refraining from issuing new offers for ocean-going vessels due to domestic supply cuts.</t>
    <phoneticPr fontId="1" type="noConversion"/>
  </si>
  <si>
    <t>-Operations will be further limited due to oil shortage caused by outbreak of war between U.S and Iran</t>
    <phoneticPr fontId="1" type="noConversion"/>
  </si>
  <si>
    <t>-Availability is tightening, especially for HSFO, which is reported as extremely tight.</t>
    <phoneticPr fontId="1" type="noConversion"/>
  </si>
  <si>
    <t xml:space="preserve">-VLSFO: HDO is now keen to sell, will focus Mar deliveries basis HDO sourcing and check both Idemitsu &amp; HDO for Apr deliveries. </t>
    <phoneticPr fontId="1" type="noConversion"/>
  </si>
  <si>
    <t xml:space="preserve">-LSMGO: HDO is keen to sell and SKE is also offering attractive(?) price, so keenly fix with high margin basis these 2 suppliers. </t>
    <phoneticPr fontId="1" type="noConversion"/>
  </si>
  <si>
    <t xml:space="preserve">-HSFO: Idemitsu is keen to sell, considering T/C for HSFO barge and will fix with high margin agressively on this grade. </t>
    <phoneticPr fontId="1" type="noConversion"/>
  </si>
  <si>
    <t xml:space="preserve">-The market is facing a severe shortage of HSFO, with most suppliers withdrawing spot offers. </t>
    <phoneticPr fontId="1" type="noConversion"/>
  </si>
  <si>
    <t>-For VLSFO and LSMGO, recommended lead times have extended to 7–10 days.</t>
    <phoneticPr fontId="1" type="noConversion"/>
  </si>
  <si>
    <t>-Suppliers are trying to be very careful to offer when it comes to spot inquiries due to extreme price volatility.</t>
    <phoneticPr fontId="1" type="noConversion"/>
  </si>
  <si>
    <t>-Availability remains severely constrained; lead times are stretched to 10–15 days for VLSFO and up to 22 days for LSMGO.</t>
    <phoneticPr fontId="1" type="noConversion"/>
  </si>
  <si>
    <t xml:space="preserve">-China bunker price is getting lower relatively than other ports </t>
    <phoneticPr fontId="1" type="noConversion"/>
  </si>
  <si>
    <t>-Availability in Nagoya and Yokkaichi is very tight for spot buyers.</t>
    <phoneticPr fontId="1" type="noConversion"/>
  </si>
  <si>
    <t>-Operations will be further limited due to oil shortage caused by persistent war between U.S and Iran</t>
    <phoneticPr fontId="1" type="noConversion"/>
  </si>
  <si>
    <t>-The bunker supply crunch has deepened. Refiners have announced some reduction in supply for April.</t>
    <phoneticPr fontId="1" type="noConversion"/>
  </si>
  <si>
    <t>-VLSFO: As of yesterday, Korea price was USD 190-200/MT higher than SG and USD 180-195/MT higher than China</t>
    <phoneticPr fontId="1" type="noConversion"/>
  </si>
  <si>
    <t>-LSMGO: The best level was WMA+USD 30/BBL, which was USD 12/MT lower than Singapore / USD 16/MT lower than China.</t>
    <phoneticPr fontId="1" type="noConversion"/>
  </si>
  <si>
    <t>※ Worldwide Market for this week</t>
    <phoneticPr fontId="1" type="noConversion"/>
  </si>
  <si>
    <t>-Bunkering prices have hit record levels due to escalating Middle East tensions, with VLSFO nearing $1,154/mt and LSMGO exceeding $1,800/mt.</t>
    <phoneticPr fontId="1" type="noConversion"/>
  </si>
  <si>
    <t>3/30
(April)</t>
    <phoneticPr fontId="1" type="noConversion"/>
  </si>
  <si>
    <t>※ Korea Refineries-VLSFO sales assumption for Apr</t>
    <phoneticPr fontId="1" type="noConversion"/>
  </si>
  <si>
    <t>s</t>
    <phoneticPr fontId="1" type="noConversion"/>
  </si>
  <si>
    <t>-HSFO availability is extremely tight, with most suppliers refraining from quoting spot volumes.</t>
    <phoneticPr fontId="1" type="noConversion"/>
  </si>
  <si>
    <t>-For VLSFO and LSMGO, lead times have stretched to 7–10 days as refiners wait and see stocks level and seens to prioritize existing term commitments.</t>
    <phoneticPr fontId="1" type="noConversion"/>
  </si>
  <si>
    <t>-The hub remains busy but faces extreme price volatility due to Middle East tensions. VLSFO is indicated at $875/mt, while LSMGO sits at a staggering $1,870/mt.</t>
    <phoneticPr fontId="1" type="noConversion"/>
  </si>
  <si>
    <t>-Barging schedules are heavily booked, with prompt premiums exceeding $20/mt. Recommended lead time: 10–14 days.</t>
    <phoneticPr fontId="1" type="noConversion"/>
  </si>
  <si>
    <t xml:space="preserve">-Zhoushan is currently the most viable alternative in the region, though increased diverted demand is pushing lead times to 7–10 days. </t>
    <phoneticPr fontId="1" type="noConversion"/>
  </si>
  <si>
    <t>-In Nagoya and Yokkaichi, spot availability is non-existent. Operations are strictly limited to pre-booked term contracts, and new enquiries are largely declined.</t>
    <phoneticPr fontId="1" type="noConversion"/>
  </si>
  <si>
    <t>-VLSFO: As of yesterday, Korea price was USD 102-112/MT higher than SG and USD 115-130/MT higher than China</t>
    <phoneticPr fontId="1" type="noConversion"/>
  </si>
  <si>
    <t xml:space="preserve">-HSFO: Korea price was USD 70-90/MT higher than SG and USD 50-80/MT higher than China </t>
    <phoneticPr fontId="1" type="noConversion"/>
  </si>
  <si>
    <t>-LSMGO: The best level was WMA+USD 15/BBL, which was USD 1/MT higher than Singapore / USD 36/MT higher than China.</t>
    <phoneticPr fontId="1" type="noConversion"/>
  </si>
  <si>
    <t>-The market is in a state of "supply shock" following refiners' decision to cut marine fuel production by 50% for April.</t>
    <phoneticPr fontId="1" type="noConversion"/>
  </si>
  <si>
    <t xml:space="preserve">-HDO: 70~80k MT/month </t>
    <phoneticPr fontId="1" type="noConversion"/>
  </si>
  <si>
    <t>-S-OIL: 70k MT/month</t>
    <phoneticPr fontId="1" type="noConversion"/>
  </si>
  <si>
    <t>-GS: 0~10k MT/month</t>
    <phoneticPr fontId="1" type="noConversion"/>
  </si>
  <si>
    <t>-Total: 400K/month</t>
    <phoneticPr fontId="1" type="noConversion"/>
  </si>
  <si>
    <t xml:space="preserve">-VLSFO: HDO is keen to sell relatively than other refineries yesterday, as Idemitsu is not aggressive on lowering premium we try to fix more stems with Oilbank monitoring other supplier's stance. </t>
    <phoneticPr fontId="1" type="noConversion"/>
  </si>
  <si>
    <t xml:space="preserve">-LSMGO: HDO is the lowest one in the market. </t>
    <phoneticPr fontId="1" type="noConversion"/>
  </si>
  <si>
    <t xml:space="preserve">-HSFO: GS is lowering premium below mops plus hundred under pressure of weak demand in Korea. Trying to optimize the usage on balance term/spot left over including Oilbank sourcing. </t>
    <phoneticPr fontId="1" type="noConversion"/>
  </si>
  <si>
    <t xml:space="preserve">-The national energy alert remains at "Alert" level. HSFO availability is critical, making spot fixtures extremely difficult. </t>
    <phoneticPr fontId="1" type="noConversion"/>
  </si>
  <si>
    <t>-VLSFO and LSMGO are available but require 5–7 days of lead time due to low domestic inventory.</t>
    <phoneticPr fontId="1" type="noConversion"/>
  </si>
  <si>
    <t xml:space="preserve">-Following the temporary ceasefire announcement, prices saw a sharp correction. LSMGO plummeted by nearly $400/mt from its peak. </t>
    <phoneticPr fontId="1" type="noConversion"/>
  </si>
  <si>
    <t>-However, operational constraints persist due to terminal congestion, with lead times still at 10–14 days.</t>
    <phoneticPr fontId="1" type="noConversion"/>
  </si>
  <si>
    <t>-Despite tighten export quotas, Zhoushan remains a viable alternative hub.</t>
    <phoneticPr fontId="1" type="noConversion"/>
  </si>
  <si>
    <t>-It is absorbing diverted demand from Japan. Recommended lead times are currently 5–8 days.</t>
    <phoneticPr fontId="1" type="noConversion"/>
  </si>
  <si>
    <t>-Comparatively more stable than other hubs due to increased Russian crude inflows.</t>
    <phoneticPr fontId="1" type="noConversion"/>
  </si>
  <si>
    <t>-The market is experiencing a severe supply shock. With a 50% production cut in effect, spot availability in Nagoya and Yokkaichi is virtually non-existent.</t>
    <phoneticPr fontId="1" type="noConversion"/>
  </si>
  <si>
    <t>-Suppliers are prioritizing term contracts and declining most new spot inquiries.</t>
    <phoneticPr fontId="1" type="noConversion"/>
  </si>
  <si>
    <t>-VLSFO: As of yesterday, Korea price was USD 105-110/MT higher than SG and USD 84-100/MT higher than China</t>
    <phoneticPr fontId="1" type="noConversion"/>
  </si>
  <si>
    <t xml:space="preserve">-HSFO: Korea price was USD 15-30/MT higher than SG and USD 10-15/MT lower than China </t>
    <phoneticPr fontId="1" type="noConversion"/>
  </si>
  <si>
    <t>-LSMGO: The best level was WMA+USD 6/BBL, which was USD 8/MT higher than Singapore / USD 2/MT higher than China.</t>
    <phoneticPr fontId="1" type="noConversion"/>
  </si>
  <si>
    <t xml:space="preserve">-VLSFO: Suppliers are competing under weak demand. Checking all supplier options to fix deals. </t>
    <phoneticPr fontId="1" type="noConversion"/>
  </si>
  <si>
    <t xml:space="preserve">-LSMGO: HDO is the best option, aggressively fix and widen the margin from Oilbank. </t>
    <phoneticPr fontId="1" type="noConversion"/>
  </si>
  <si>
    <t xml:space="preserve">-HSFO: All refineries are keen to sell under weak demand, especailly GSC needs to sell a lot prior to May T/A so most aggressive. Trying to minimize spot &amp; term loss. </t>
    <phoneticPr fontId="1" type="noConversion"/>
  </si>
  <si>
    <t xml:space="preserve">-The re-closure of the Strait of Hormuz by Iran on April 18 has triggered fresh supply concerns </t>
    <phoneticPr fontId="1" type="noConversion"/>
  </si>
  <si>
    <t>-VLSFO prices are moving around $651.50/mt, and LSMGO remains highly volatile.</t>
    <phoneticPr fontId="1" type="noConversion"/>
  </si>
  <si>
    <t>-Lead times persist at 10–14 days due to ongoing terminal congestion and barge overbooking.</t>
    <phoneticPr fontId="1" type="noConversion"/>
  </si>
  <si>
    <t>-HSFO remains extremely tight and looks weak demand with spot offers nearly impossible to secure as suppliers focus on term contracts.</t>
    <phoneticPr fontId="1" type="noConversion"/>
  </si>
  <si>
    <t>-For VLSFO and LSMGO, lead times in southern ports (Busan/Ulsan) are around 4–6 days, while western ports range from 2–7 days depending on barge availability.</t>
    <phoneticPr fontId="1" type="noConversion"/>
  </si>
  <si>
    <t>-Suppliers recommend a lead time of 5–8 days for all grades as they work through the congestion</t>
    <phoneticPr fontId="1" type="noConversion"/>
  </si>
  <si>
    <t xml:space="preserve">-Increased diverted demand from Japan and Korea has led to a backlog of 50–60 vessels waiting for fuel. </t>
    <phoneticPr fontId="1" type="noConversion"/>
  </si>
  <si>
    <t>-Suppliers are strictly fulfilling existing commitments, with no capacity for new spot inquiries</t>
    <phoneticPr fontId="1" type="noConversion"/>
  </si>
  <si>
    <t xml:space="preserve">-LSMGO: HDO &amp; S-OIL is keen to sell, trying to fix aggressively and widen the margin from suppliers.  </t>
    <phoneticPr fontId="1" type="noConversion"/>
  </si>
  <si>
    <t xml:space="preserve">-HSFO: All refineries are keen to sell under weak demand, especailly GSC needs to sell a lot prior to May T/A so most aggressive. </t>
    <phoneticPr fontId="1" type="noConversion"/>
  </si>
  <si>
    <t>-VLSFO: As of yesterday, Korea price was USD 87-97/MT higher than SG and USD 60-85/MT higher than China</t>
    <phoneticPr fontId="1" type="noConversion"/>
  </si>
  <si>
    <t xml:space="preserve">-HSFO: Korea price was USD 30-45/MT higher than SG and USD 5-10/MT lower than China </t>
    <phoneticPr fontId="1" type="noConversion"/>
  </si>
  <si>
    <t>-LSMGO: The best level was WMA+USD 1/BBL, which was USD 20/MT higher than Singapore / USD 15/MT higher than China.</t>
    <phoneticPr fontId="1" type="noConversion"/>
  </si>
  <si>
    <t>2026-04-28
(May Delivery)</t>
    <phoneticPr fontId="1" type="noConversion"/>
  </si>
  <si>
    <t>SG FO</t>
    <phoneticPr fontId="1" type="noConversion"/>
  </si>
  <si>
    <t>SG MGO</t>
    <phoneticPr fontId="1" type="noConversion"/>
  </si>
  <si>
    <t>Zoushan FO</t>
    <phoneticPr fontId="1" type="noConversion"/>
  </si>
  <si>
    <t>Zoushan HSFO</t>
    <phoneticPr fontId="1" type="noConversion"/>
  </si>
  <si>
    <t>Zoushan GO</t>
    <phoneticPr fontId="1" type="noConversion"/>
  </si>
  <si>
    <t>PAPER</t>
    <phoneticPr fontId="1" type="noConversion"/>
  </si>
  <si>
    <t>FO</t>
    <phoneticPr fontId="1" type="noConversion"/>
  </si>
  <si>
    <t>GO</t>
    <phoneticPr fontId="1" type="noConversion"/>
  </si>
  <si>
    <t>+8</t>
    <phoneticPr fontId="1" type="noConversion"/>
  </si>
  <si>
    <t>+33</t>
    <phoneticPr fontId="1" type="noConversion"/>
  </si>
  <si>
    <t>+38</t>
    <phoneticPr fontId="1" type="noConversion"/>
  </si>
  <si>
    <t>KR FO</t>
    <phoneticPr fontId="1" type="noConversion"/>
  </si>
  <si>
    <t>+78</t>
    <phoneticPr fontId="1" type="noConversion"/>
  </si>
  <si>
    <t>KR GO</t>
    <phoneticPr fontId="1" type="noConversion"/>
  </si>
  <si>
    <t>+20</t>
    <phoneticPr fontId="1" type="noConversion"/>
  </si>
  <si>
    <t>+26</t>
    <phoneticPr fontId="1" type="noConversion"/>
  </si>
  <si>
    <t>-VLSFO: As of ytd, Korea price settled around $90-95, which is $45-55 higher than SG and $40-50 higher than CN.</t>
    <phoneticPr fontId="1" type="noConversion"/>
  </si>
  <si>
    <t>-HSFO: Korea price was $20-30/MT which is $5-10 higher than SG and $10-15/MT lower than CN</t>
    <phoneticPr fontId="1" type="noConversion"/>
  </si>
  <si>
    <t>-LSMGO: KR refiners' offering rates are approximately WMA +$3.5/bbl (Best) and selling +$7-9/bbl, putting KR prices is $110 lower than CN</t>
    <phoneticPr fontId="1" type="noConversion"/>
  </si>
  <si>
    <t>(Current fixed levels for shipowners at Korean ports are around MOPS WMA +$90~110/mt.)</t>
    <phoneticPr fontId="1" type="noConversion"/>
  </si>
  <si>
    <t>-HSFO remains critically short, with spot offers nearly non-existent.</t>
    <phoneticPr fontId="1" type="noConversion"/>
  </si>
  <si>
    <t>-The supply crunch continues. Spot availability in Nagoya and Yokkaichi is virtually zero as refiners prioritize long-term contracts.</t>
    <phoneticPr fontId="1" type="noConversion"/>
  </si>
  <si>
    <t>-Buyers are advised to expect "No Quote" for any prompt spot inquiries through early May.</t>
    <phoneticPr fontId="1" type="noConversion"/>
  </si>
  <si>
    <t xml:space="preserve">-The evel of stocks for VLSFO has gradually tighten for May delivery as per market saying </t>
    <phoneticPr fontId="1" type="noConversion"/>
  </si>
  <si>
    <t xml:space="preserve">-The long lasting war between U.S and Iran has kept potential supply concerns </t>
    <phoneticPr fontId="1" type="noConversion"/>
  </si>
  <si>
    <t>The market is seeing a price correction after the recent surge. VLSFO is trading around $745/mt, and LSMGO has eased to $1,280/mt.</t>
    <phoneticPr fontId="1" type="noConversion"/>
  </si>
  <si>
    <t xml:space="preserve">-SK: 200k MT/month (Updating) </t>
    <phoneticPr fontId="1" type="noConversion"/>
  </si>
  <si>
    <t xml:space="preserve">-HDO: 70~80k MT/month (Updating) </t>
    <phoneticPr fontId="1" type="noConversion"/>
  </si>
  <si>
    <t>-S-OIL: 60~70k MT/month</t>
    <phoneticPr fontId="1" type="noConversion"/>
  </si>
  <si>
    <t xml:space="preserve">-VLSFO: May and especially early May is likely to be tight on supply side(Demand also weak, though), trying to make margin basis Idemitsu among tight offer from refineries. </t>
    <phoneticPr fontId="1" type="noConversion"/>
  </si>
  <si>
    <t xml:space="preserve">-LSMGO: HDO is keen to sell, trying to fix aggressively and widen the margin from Oilbank discount. </t>
    <phoneticPr fontId="1" type="noConversion"/>
  </si>
  <si>
    <t xml:space="preserve">-HSFO: GSC is selling 160K in May(similar to usual month), is likely to be tough to fight with GS.  </t>
    <phoneticPr fontId="1" type="noConversion"/>
  </si>
  <si>
    <t>헝리 셍션 영향을 주고 있는지/ THEY SUSPENDED / THEY CAN'T RECEIVE USD / HOLD ALL THE PAYMENT FOR THE CUSTOMER.</t>
    <phoneticPr fontId="1" type="noConversion"/>
  </si>
  <si>
    <t>※ Korea Refineries-VLSFO sales assumption for May</t>
    <phoneticPr fontId="1" type="noConversion"/>
  </si>
  <si>
    <t>(Ytd fixed levels for shipowners at Korean ports were around MOPS WMA +$200-250/mt.)</t>
    <phoneticPr fontId="1" type="noConversion"/>
  </si>
  <si>
    <t>-LSMGO: KR refiners' offering rates are approximately WMA -$2/bbl (Best) and selling +$1.7/bbl, putting KR prices is $164/mt lower than CN(+$22/bbl lvl)</t>
    <phoneticPr fontId="1" type="noConversion"/>
  </si>
  <si>
    <t>SOIL NO OFFER TILL 5TH</t>
    <phoneticPr fontId="1" type="noConversion"/>
  </si>
  <si>
    <t xml:space="preserve">-SK: 150k MT/month </t>
    <phoneticPr fontId="1" type="noConversion"/>
  </si>
  <si>
    <t xml:space="preserve">-HDO: 60~70k MT/month </t>
    <phoneticPr fontId="1" type="noConversion"/>
  </si>
  <si>
    <t>-IDEMITSU: 30k MT/month</t>
    <phoneticPr fontId="1" type="noConversion"/>
  </si>
  <si>
    <t>-VLSFO: Very tight and expect tightness could be slightly released 2h of May onwards. Demand is very weak.</t>
    <phoneticPr fontId="1" type="noConversion"/>
  </si>
  <si>
    <t xml:space="preserve">-The level of stocks for VLSFO has gradually tighten for May delivery as per market saying </t>
    <phoneticPr fontId="1" type="noConversion"/>
  </si>
  <si>
    <t>-HSFO supply has tightened significantly on South &amp; West coasts, shifting from firm availability to an "enquiry-only" basis.</t>
    <phoneticPr fontId="1" type="noConversion"/>
  </si>
  <si>
    <t>-Bad weather is expected to cause operational delays in major ports (Busan, Ulsan, Yeosu, and Daesan) between May 1st and May 4th.</t>
    <phoneticPr fontId="1" type="noConversion"/>
  </si>
  <si>
    <t>-Supply pressure is mounting as residual fuel inventories trend lower.</t>
    <phoneticPr fontId="1" type="noConversion"/>
  </si>
  <si>
    <t>-VLSFO delivery schedules have stretched further to 7–15 days. HSFO and LSMGO also face tighter conditions,</t>
    <phoneticPr fontId="1" type="noConversion"/>
  </si>
  <si>
    <t>-This tightness is requiring 7–12 days and 6–9 days of lead time, respectively.</t>
    <phoneticPr fontId="1" type="noConversion"/>
  </si>
  <si>
    <t>-Bunker demand and operations have softened due to the Labor Day holiday (May 1–5) compared to last few months.</t>
    <phoneticPr fontId="1" type="noConversion"/>
  </si>
  <si>
    <t>-Some suppliers stopped accepting new orders during this period. Post-holiday congestion is expected, with lead times currently pushed to 8–10 days.</t>
    <phoneticPr fontId="1" type="noConversion"/>
  </si>
  <si>
    <t>-While spot availability in Nagoya remains limited, the move is expected to gradually restore supplier confidence.</t>
    <phoneticPr fontId="1" type="noConversion"/>
  </si>
  <si>
    <t>-VLSFO: As of ytd, Korea premium settled around $200-220, which is $150-200 higher than SG(+50lvl) and $160-210 higher than CN(+40lvl).</t>
    <phoneticPr fontId="1" type="noConversion"/>
  </si>
  <si>
    <t>685//780//1200</t>
    <phoneticPr fontId="1" type="noConversion"/>
  </si>
  <si>
    <t>조샨</t>
    <phoneticPr fontId="1" type="noConversion"/>
  </si>
  <si>
    <t>-SK: 250~300k MT/month (Checking)</t>
    <phoneticPr fontId="1" type="noConversion"/>
  </si>
  <si>
    <t>-GS: 50k MT/month</t>
    <phoneticPr fontId="1" type="noConversion"/>
  </si>
  <si>
    <t>-VLSFO: SK is a lot aggressive, need to check both SKE &amp; SKON(via traders) intensively.</t>
    <phoneticPr fontId="1" type="noConversion"/>
  </si>
  <si>
    <t xml:space="preserve">-LSMGO: Both HDO &amp; SK is keen to sell, need to compare both. </t>
    <phoneticPr fontId="1" type="noConversion"/>
  </si>
  <si>
    <t>-HSFO: Need to check GSC avails inq by inq and try to fix with margin basis HDO or IDEMITSU.</t>
    <phoneticPr fontId="1" type="noConversion"/>
  </si>
  <si>
    <t>-Korea southern hubs (Busan, Ulsan, Yeosu, Kwangyang), physical availability for VLSFO and LSMGO has improved significantly, with recommended lead times shortening to around 4 days (down from 7–10 days last week). Western ports (Incheon, Daesan) are holding steady at around 5 days.</t>
    <phoneticPr fontId="1" type="noConversion"/>
  </si>
  <si>
    <t>-HSFO remains very tight on the southern coast and is currently obtainable strictly on an enquiry basis.</t>
    <phoneticPr fontId="1" type="noConversion"/>
  </si>
  <si>
    <t>-Operational Risk: Suppliers warn of intermittent late-spring weather volatility, which requires continuous tracking of barge lineups despite steady product stocks.</t>
    <phoneticPr fontId="1" type="noConversion"/>
  </si>
  <si>
    <t xml:space="preserve">-Port inventories are under pressure, with Enterprise Singapore data showing residual fuel oil stocks averaging 9% lower in May due to an 18% drop in net imports. </t>
    <phoneticPr fontId="1" type="noConversion"/>
  </si>
  <si>
    <t>-While VLSFO lead times have marginally eased to 10–14 days (from 12-14 days), the market remains tight.</t>
    <phoneticPr fontId="1" type="noConversion"/>
  </si>
  <si>
    <t>-HSFO and LSMGO lead times hover around 5–10 days.</t>
    <phoneticPr fontId="1" type="noConversion"/>
  </si>
  <si>
    <t>-The supply crunch continues. Spot availability in Nagoya and Yokkaichi is very limited as refiners prioritize long-term contracts.</t>
    <phoneticPr fontId="1" type="noConversion"/>
  </si>
  <si>
    <t>(Ytd fixed levels for shipowners at Korean ports were around MOPS MAY+60.)</t>
    <phoneticPr fontId="1" type="noConversion"/>
  </si>
  <si>
    <t>-VLSFO: As of ytd, Korea premium settled around Mops May+50, which is 20-30 higher than SG (+20~30lvl) and 30 higher than CN (+20~30lvl).</t>
    <phoneticPr fontId="1" type="noConversion"/>
  </si>
  <si>
    <t>-HSFO: Korea price was Mops May+$20-30/MT which is $5-10 higher than SG and $10-15/MT lower than CN</t>
    <phoneticPr fontId="1" type="noConversion"/>
  </si>
  <si>
    <t>-LSMGO: KR refiners' offering rates are approximately WMA -$3/bbl (Best, $1,145/mt lvl) and selling +$2.0/bbl ($1180/mt lvl)</t>
    <phoneticPr fontId="1" type="noConversion"/>
  </si>
  <si>
    <t>※ Korea Refineries-VLSFO sales assumption for June</t>
    <phoneticPr fontId="1" type="noConversion"/>
  </si>
  <si>
    <t xml:space="preserve"> </t>
    <phoneticPr fontId="1" type="noConversion"/>
  </si>
  <si>
    <t xml:space="preserve">-VLSFO: Premium is re-bounding due to SK increase price. Ytd SK ENERGY(Not SKON) &amp; IDEMITSU was market lowest, so will focus on these supplier for the time being. </t>
    <phoneticPr fontId="1" type="noConversion"/>
  </si>
  <si>
    <t xml:space="preserve">-LSMGO: HDO is the lowest and this would last for the time being. </t>
    <phoneticPr fontId="1" type="noConversion"/>
  </si>
  <si>
    <t xml:space="preserve">-HSFO: Monitoring GSC avails and will try to fix proper one basis IDEMITSU &amp; HDO. </t>
    <phoneticPr fontId="1" type="noConversion"/>
  </si>
  <si>
    <t>5/25 780/660/1150</t>
  </si>
  <si>
    <t>6/1 765/660/1130</t>
  </si>
  <si>
    <t>조유샨</t>
    <phoneticPr fontId="1" type="noConversion"/>
  </si>
  <si>
    <t>싱가포르</t>
    <phoneticPr fontId="1" type="noConversion"/>
  </si>
  <si>
    <t>760/632/1055</t>
    <phoneticPr fontId="1" type="noConversion"/>
  </si>
  <si>
    <t>-VLSFO: As of ytd, Korea premium settled around Mops Jun+70, which is ard 15 higher than SG (+55lvl) and 30 higher than CN (+40lvl).</t>
    <phoneticPr fontId="1" type="noConversion"/>
  </si>
  <si>
    <t>(Ytd fixed levels for shipowners at Korean ports were around MOPS Jun+120.)</t>
    <phoneticPr fontId="1" type="noConversion"/>
  </si>
  <si>
    <t>HSFO</t>
    <phoneticPr fontId="1" type="noConversion"/>
  </si>
  <si>
    <t>-HSFO: Korea price was Mops Jun+20~30 which is $5-10/mt higher than SG and $8~10/MT lower than CN</t>
    <phoneticPr fontId="1" type="noConversion"/>
  </si>
  <si>
    <t>-LSMGO: KR refiners' offering rates are approximately WMA -$2/bbl (Best, $1,034/mt lvl)</t>
    <phoneticPr fontId="1" type="noConversion"/>
  </si>
  <si>
    <t>-Korea southern hubs (Busan, Ulsan, Yeosu, Kwangyang), physical availability for VLSFO and LSMGO has improved a lot with recommended lead times around 4 days while western ports (Incheon, Daesan) require around 5 days.</t>
    <phoneticPr fontId="1" type="noConversion"/>
  </si>
  <si>
    <t>-Availability on the southern coast remains severely constrained and is obtainable strictly on an enquiry basis. However, western ports provide better supply flexibility, with HSFO lead times stabilized at around 5 days.</t>
    <phoneticPr fontId="1" type="noConversion"/>
  </si>
  <si>
    <t xml:space="preserve">-Bunker deliveries at key anchorages (Xiazhimen, Tiaozhoumen) are operating normally as previous weather backlogs have cleared. </t>
    <phoneticPr fontId="1" type="noConversion"/>
  </si>
  <si>
    <t>-The structural supply crunch remains acute. Crucial domestic distillates shortages have led to an almost complete absence of LSMGO spot offers across regional hubs.</t>
    <phoneticPr fontId="1" type="noConversion"/>
  </si>
  <si>
    <t>-Furthermore, tight crude procurement keeps lead times extended to 7–10 days</t>
    <phoneticPr fontId="1" type="noConversion"/>
  </si>
  <si>
    <t>-Due to subdued regional downstream demand, fuel availability is steady. Recommended lead times are highly competitive at 5–7 days for VLSFO and 4–6 days for HSFO/LSMGO.</t>
    <phoneticPr fontId="1" type="noConversion"/>
  </si>
  <si>
    <t xml:space="preserve">-VLSFO: SK is keen to sell again and S-OIL is following to similar premium. Oilbank has limited stock until cargo comes in arnd mid-June. Utilizing S-OIL, SKE, IDEMITSU options to fix deals. </t>
    <phoneticPr fontId="1" type="noConversion"/>
  </si>
  <si>
    <t xml:space="preserve">-HSFO: GSC sold a lot and going thru tight avails, SKON is also selling aggressive. Barge tightness is severe and focusing to fix deals with enough margin with IDEMITSU option. </t>
    <phoneticPr fontId="1" type="noConversion"/>
  </si>
  <si>
    <t>유종</t>
    <phoneticPr fontId="1" type="noConversion"/>
  </si>
  <si>
    <t>페이퍼</t>
    <phoneticPr fontId="1" type="noConversion"/>
  </si>
  <si>
    <t>국가</t>
    <phoneticPr fontId="1" type="noConversion"/>
  </si>
  <si>
    <t>SG</t>
    <phoneticPr fontId="1" type="noConversion"/>
  </si>
  <si>
    <t>시장가</t>
    <phoneticPr fontId="1" type="noConversion"/>
  </si>
  <si>
    <t>ZS</t>
    <phoneticPr fontId="1" type="noConversion"/>
  </si>
  <si>
    <t>KR</t>
    <phoneticPr fontId="1" type="noConversion"/>
  </si>
  <si>
    <t>JP</t>
    <phoneticPr fontId="1" type="noConversion"/>
  </si>
  <si>
    <t>PREMIUM</t>
    <phoneticPr fontId="1" type="noConversion"/>
  </si>
  <si>
    <t>GO (BBL)</t>
    <phoneticPr fontId="1" type="noConversion"/>
  </si>
  <si>
    <t>Sing 0.5 728.25</t>
  </si>
  <si>
    <t>Sing380 612.50</t>
  </si>
  <si>
    <t>SGO 10ppm 143.25</t>
  </si>
  <si>
    <t>SPREAD (SG)</t>
    <phoneticPr fontId="1" type="noConversion"/>
  </si>
  <si>
    <t>SPREAD (ZS)</t>
    <phoneticPr fontId="1" type="noConversion"/>
  </si>
  <si>
    <t>-VLSFO: As of ytd, Korea premium settled around Mops Jun+50 as lowest value, which is ard 15 higher than SG and ZS (+35lvl).</t>
    <phoneticPr fontId="1" type="noConversion"/>
  </si>
  <si>
    <t>(Ytd fixed levels for shipowners at Korean ports were around MOPS Jun+100)</t>
    <phoneticPr fontId="1" type="noConversion"/>
  </si>
  <si>
    <t>-HSFO: Korea premium was Mops Jun+88, which is 68 higher than SG(+20lvl) and 45 higher than CN(+43lvl)</t>
    <phoneticPr fontId="1" type="noConversion"/>
  </si>
  <si>
    <t xml:space="preserve">-LSMGO: KR refiners' offering rates are approximately WMA -$1.5/bbl (Best, $1,059/mt lvl,), selling WMA+$4.4/bbl ($1,100mt) </t>
    <phoneticPr fontId="1" type="noConversion"/>
  </si>
  <si>
    <t>-For VLSFO &amp; LSMGO, supply remains the most resilient in the East of Suez region. Recommended lead times in southern ports hold steady at around 4 days, making Korea an ideal stop by option for prompt stems</t>
    <phoneticPr fontId="1" type="noConversion"/>
  </si>
  <si>
    <t>-Dense fog in typical of early summer may cause temporary delays in barge lineups; however, physical product inventories remain stable in the Far East region</t>
    <phoneticPr fontId="1" type="noConversion"/>
  </si>
  <si>
    <t>-VLSFO and HSFO lead times remain under heavy pressure at 10–15 days due to terminal loading bottlenecks, meaning buyers must continue to secure volumes at least two weeks in advance.</t>
    <phoneticPr fontId="1" type="noConversion"/>
  </si>
  <si>
    <t xml:space="preserve">-VLSFO supply is reported as tight, with traders maintaining a recommended lead time of 7–10 days. </t>
    <phoneticPr fontId="1" type="noConversion"/>
  </si>
  <si>
    <t>-Conversely, LSMGO and HSFO availability is relatively stable, with lead times easing to 4–7 days.</t>
    <phoneticPr fontId="1" type="noConversion"/>
  </si>
  <si>
    <t>-Severe Tropical Storm 'Jangmi' is forecast to disrupt bunkering operations across Japan’s southwestern regions this week</t>
    <phoneticPr fontId="1" type="noConversion"/>
  </si>
  <si>
    <t>-Refiners keep lead times extended at 7–10 days for HSFO and 10–12 days for VLSFO in Tokyo Bay and Nagoya, with spot LSMGO nearly unavailable.</t>
    <phoneticPr fontId="1" type="noConversion"/>
  </si>
  <si>
    <t>오뱅_NO OFFER</t>
    <phoneticPr fontId="1" type="noConversion"/>
  </si>
  <si>
    <t>-VLSFO: As of ytd, Korea premium settled around Mops AUG+120 as lowest value, which is ard 15 higher than SG and ZS (+35lvl).</t>
    <phoneticPr fontId="1" type="noConversion"/>
  </si>
  <si>
    <t>(Ytd fixed levels for shipowners at Korean ports were around MOPS AUG+100)</t>
    <phoneticPr fontId="1" type="noConversion"/>
  </si>
  <si>
    <t>-HSFO: Korea premium was Mops AUG+88, which is 68 higher than SG(+20lvl) and 45 higher than CN(+43lvl)</t>
    <phoneticPr fontId="1" type="noConversion"/>
  </si>
  <si>
    <t xml:space="preserve">-LSMGO: KR refiners' offering rates are approximately AUG WMA -$1.5/bbl (Best, $1,059/mt lvl,), selling AUG WMA+$4.4/bbl ($1,100mt) </t>
    <phoneticPr fontId="1" type="noConversion"/>
  </si>
  <si>
    <t xml:space="preserve">-VLSFO: HDO is not offering VLSFO as their cargo is being delayed. Need to try basis SKE for earlier dates and Idemitsu for later dates. Need to consider typhoon effect on arnd 8~12th. </t>
    <phoneticPr fontId="1" type="noConversion"/>
  </si>
  <si>
    <t xml:space="preserve">-LSMGO: HDO would be first option but 1H Aug their stock is also tight due to delay on cargo transportatioin. </t>
    <phoneticPr fontId="1" type="noConversion"/>
  </si>
  <si>
    <t xml:space="preserve">-HSFO: Korea HSFO premium is at arnd +120~130 basis refineries' wma offer but barge avails is our bottleneck. Trying to find proper one and maximize margin even with additional cost on barge side.  </t>
    <phoneticPr fontId="1" type="noConversion"/>
  </si>
  <si>
    <t>-Amid subdued bunker demand, product availability remains relatively comfortable. Recommended lead times for VLSFO, LSMGO, and HSFO stand at 3–7 days.</t>
    <phoneticPr fontId="1" type="noConversion"/>
  </si>
  <si>
    <t xml:space="preserve">-Weather disruptions linked to Typhoon Dolphin are impacting operations. Weather-related delays are forecast at Busan, Ulsan, and Yeosu between 7–12 August, and at Daesan between 8–13 August. </t>
    <phoneticPr fontId="1" type="noConversion"/>
  </si>
  <si>
    <t>-Most suppliers are confirming stems strictly subject to weather conditions.</t>
    <phoneticPr fontId="1" type="noConversion"/>
  </si>
  <si>
    <t>-Availability remains constrained across all grades as fuel oil stocks linger below 19 million bbls amid Middle East trade disruptions.</t>
    <phoneticPr fontId="1" type="noConversion"/>
  </si>
  <si>
    <t>-Recommended lead times vary widely among suppliers, quoted at 12–24 days for VLSFO and 10–24 days for HSFO.</t>
    <phoneticPr fontId="1" type="noConversion"/>
  </si>
  <si>
    <t>-In Zhoushan, VLSFO lead times remain stretched at around 12 days due to tight refinery supply. LSMGO and HSFO lead times have widened to around 10 days.</t>
    <phoneticPr fontId="1" type="noConversion"/>
  </si>
  <si>
    <t>-Hong Kong remains comparatively stable with lead times holding at around 7 days across all grades.</t>
    <phoneticPr fontId="1" type="noConversion"/>
  </si>
  <si>
    <t>Sing 0.5 713.25</t>
  </si>
  <si>
    <t>Sing380 540.00</t>
  </si>
  <si>
    <t>SGO 10ppm 147.50</t>
  </si>
  <si>
    <t>-Suppliers across Tokyo Bay and Nagoya are quoting earliest delivery dates around 20–22 August,</t>
    <phoneticPr fontId="1" type="noConversion"/>
  </si>
  <si>
    <t>-A domestic refiner has imposed ex-wharf restrictions on VLSFO and HSFO until 15–20 August, triggering a nationwide supply squeeze.</t>
    <phoneticPr fontId="1" type="noConversion"/>
  </si>
  <si>
    <t>-VLSFO: As of ytd, Korea premium settled around Mops AUG+70 as lowest value, which is ard 10 lower than SG and ZS (+80lvl).</t>
    <phoneticPr fontId="1" type="noConversion"/>
  </si>
  <si>
    <t>(Ytd fixed levels for shipowners at Korean ports were around MOPS AUG+130)</t>
    <phoneticPr fontId="1" type="noConversion"/>
  </si>
  <si>
    <t>-HSFO: Korea premium was Mops AUG+90, which is 20 higher than SG(+70lvl) and 5 higher than CN(+85lvl)</t>
    <phoneticPr fontId="1" type="noConversion"/>
  </si>
  <si>
    <t xml:space="preserve">-LSMGO: KR refiners' offering rates are approximately AUG WMA +$8/bbl (Best, $1,158/mt lvl,), selling AUG WMA+$14.5/bbl ($1,210mt) </t>
    <phoneticPr fontId="1" type="noConversion"/>
  </si>
  <si>
    <t xml:space="preserve">-VLSFO: HDO start offering VLSFO as their cargo transportation done. Need to try basis HDO &amp; SKE for earlier dates and Idemitsu for later dates. Still take a look at typhoon effect on arnd 8~15th. </t>
    <phoneticPr fontId="1" type="noConversion"/>
  </si>
  <si>
    <t xml:space="preserve">-LSMGO: HDO would be first option as their stock for AUG is available after cargo transportatioin. </t>
    <phoneticPr fontId="1" type="noConversion"/>
  </si>
  <si>
    <t xml:space="preserve">-HSFO: Korea HSFO premium is at arnd +90 basis refineries' wma offer but barge avails is extremely tight at the moment. Trying to find proper one and maximize margin even with additional cost on barge side.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</si>
</sst>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quot;/&quot;d;@"/>
    <numFmt numFmtId="177" formatCode="mm&quot;월&quot;\ dd&quot;일&quot;"/>
    <numFmt numFmtId="178" formatCode="_-[$₩-412]* #,##0.00_-;\-[$₩-412]* #,##0.00_-;_-[$₩-412]* &quot;-&quot;??_-;_-@_-"/>
  </numFmts>
  <fonts count="20"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0"/>
      <color theme="1"/>
      <name val="맑은 고딕"/>
      <family val="3"/>
      <charset val="129"/>
      <scheme val="minor"/>
    </font>
    <font>
      <sz val="11"/>
      <color rgb="FF0070C0"/>
      <name val="맑은 고딕"/>
      <family val="3"/>
      <charset val="129"/>
      <scheme val="minor"/>
    </font>
    <font>
      <b/>
      <sz val="11.5"/>
      <color theme="1"/>
      <name val="맑은 고딕"/>
      <family val="3"/>
      <charset val="129"/>
      <scheme val="minor"/>
    </font>
    <font>
      <b/>
      <sz val="11"/>
      <color theme="3" tint="0.249977111117893"/>
      <name val="맑은 고딕"/>
      <family val="3"/>
      <charset val="129"/>
      <scheme val="minor"/>
    </font>
    <font>
      <sz val="11"/>
      <color theme="3" tint="0.249977111117893"/>
      <name val="맑은 고딕"/>
      <family val="3"/>
      <charset val="129"/>
      <scheme val="minor"/>
    </font>
    <font>
      <sz val="11"/>
      <color rgb="FF000000"/>
      <name val="Arial"/>
      <family val="2"/>
    </font>
    <font>
      <sz val="11"/>
      <color rgb="FF000000"/>
      <name val="맑은 고딕"/>
      <family val="2"/>
      <charset val="129"/>
    </font>
    <font>
      <sz val="11"/>
      <color rgb="FF000000"/>
      <name val="Arial"/>
      <family val="2"/>
      <charset val="129"/>
    </font>
    <font>
      <sz val="11"/>
      <color theme="1"/>
      <name val="맑은 고딕"/>
      <family val="3"/>
      <charset val="129"/>
      <scheme val="minor"/>
    </font>
    <font>
      <b/>
      <sz val="11"/>
      <color rgb="FF0070C0"/>
      <name val="Aptos Narrow"/>
      <family val="2"/>
    </font>
    <font>
      <sz val="7.5"/>
      <color theme="1"/>
      <name val="맑은 고딕"/>
      <family val="2"/>
      <charset val="129"/>
      <scheme val="minor"/>
    </font>
    <font>
      <sz val="7.5"/>
      <color theme="1"/>
      <name val="맑은 고딕"/>
      <family val="3"/>
      <charset val="129"/>
      <scheme val="minor"/>
    </font>
    <font>
      <b/>
      <sz val="8"/>
      <color theme="1"/>
      <name val="맑은 고딕"/>
      <family val="3"/>
      <charset val="129"/>
      <scheme val="minor"/>
    </font>
    <font>
      <sz val="10"/>
      <color theme="1"/>
      <name val="맑은 고딕"/>
      <family val="2"/>
      <charset val="129"/>
      <scheme val="minor"/>
    </font>
    <font>
      <b/>
      <sz val="7.5"/>
      <color rgb="FFFF0000"/>
      <name val="맑은 고딕"/>
      <family val="3"/>
      <charset val="129"/>
      <scheme val="minor"/>
    </font>
    <font>
      <sz val="11"/>
      <color theme="1"/>
      <name val="맑은 고딕"/>
      <family val="2"/>
      <charset val="129"/>
      <scheme val="minor"/>
    </font>
    <font>
      <b/>
      <sz val="11"/>
      <name val="맑은 고딕"/>
      <family val="3"/>
      <charset val="129"/>
      <scheme val="minor"/>
    </font>
  </fonts>
  <fills count="7">
    <fill>
      <patternFill patternType="none"/>
    </fill>
    <fill>
      <patternFill patternType="gray125"/>
    </fill>
    <fill>
      <patternFill patternType="solid">
        <fgColor rgb="FFFFC000"/>
        <bgColor indexed="64"/>
      </patternFill>
    </fill>
    <fill>
      <patternFill patternType="solid">
        <fgColor rgb="FFFFCC00"/>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ck">
        <color indexed="64"/>
      </right>
      <top style="thin">
        <color auto="1"/>
      </top>
      <bottom/>
      <diagonal/>
    </border>
    <border>
      <left style="thick">
        <color indexed="64"/>
      </left>
      <right style="thick">
        <color indexed="64"/>
      </right>
      <top/>
      <bottom style="thin">
        <color auto="1"/>
      </bottom>
      <diagonal/>
    </border>
  </borders>
  <cellStyleXfs count="2">
    <xf numFmtId="0" fontId="0" fillId="0" borderId="0">
      <alignment vertical="center"/>
    </xf>
    <xf numFmtId="178" fontId="18" fillId="0" borderId="0">
      <alignment vertical="center"/>
    </xf>
  </cellStyleXfs>
  <cellXfs count="68">
    <xf numFmtId="0" fontId="0" fillId="0" borderId="0" xfId="0">
      <alignment vertical="center"/>
    </xf>
    <xf numFmtId="0" fontId="2" fillId="0" borderId="0" xfId="0" applyFont="1">
      <alignment vertical="center"/>
    </xf>
    <xf numFmtId="0" fontId="0" fillId="0" borderId="1" xfId="0" applyBorder="1">
      <alignment vertical="center"/>
    </xf>
    <xf numFmtId="0" fontId="0" fillId="0" borderId="1" xfId="0" applyBorder="1" applyAlignment="1">
      <alignment horizontal="center" vertical="center"/>
    </xf>
    <xf numFmtId="0" fontId="2" fillId="0" borderId="1" xfId="0" applyFont="1" applyBorder="1">
      <alignment vertical="center"/>
    </xf>
    <xf numFmtId="176" fontId="2" fillId="0" borderId="1" xfId="0" applyNumberFormat="1" applyFont="1" applyBorder="1" applyAlignment="1">
      <alignment horizontal="center" vertical="center"/>
    </xf>
    <xf numFmtId="0" fontId="2" fillId="0" borderId="1" xfId="0" applyFont="1" applyBorder="1" applyAlignment="1">
      <alignment horizontal="center" vertical="center"/>
    </xf>
    <xf numFmtId="176" fontId="3" fillId="0" borderId="1" xfId="0" applyNumberFormat="1" applyFont="1" applyBorder="1" applyAlignment="1">
      <alignment horizontal="center" vertical="center"/>
    </xf>
    <xf numFmtId="0" fontId="0" fillId="0" borderId="0" xfId="0" applyAlignment="1">
      <alignment vertical="center" wrapText="1"/>
    </xf>
    <xf numFmtId="0" fontId="2" fillId="0" borderId="0" xfId="0" applyFont="1" applyAlignment="1">
      <alignment horizontal="center" vertical="center"/>
    </xf>
    <xf numFmtId="0" fontId="2" fillId="0" borderId="0" xfId="0" applyFont="1" applyAlignment="1">
      <alignment horizontal="left" vertical="top"/>
    </xf>
    <xf numFmtId="0" fontId="0" fillId="0" borderId="0" xfId="0" quotePrefix="1">
      <alignment vertical="center"/>
    </xf>
    <xf numFmtId="0" fontId="5" fillId="0" borderId="0" xfId="0" applyFont="1">
      <alignment vertical="center"/>
    </xf>
    <xf numFmtId="0" fontId="2" fillId="0" borderId="0" xfId="0" quotePrefix="1" applyFont="1">
      <alignment vertical="center"/>
    </xf>
    <xf numFmtId="0" fontId="6" fillId="0" borderId="0" xfId="0" applyFont="1">
      <alignment vertical="center"/>
    </xf>
    <xf numFmtId="0" fontId="7" fillId="0" borderId="0" xfId="0" applyFont="1">
      <alignment vertical="center"/>
    </xf>
    <xf numFmtId="0" fontId="6" fillId="0" borderId="0" xfId="0" quotePrefix="1" applyFont="1">
      <alignment vertical="center"/>
    </xf>
    <xf numFmtId="0" fontId="7" fillId="0" borderId="0" xfId="0" quotePrefix="1" applyFont="1" applyAlignment="1">
      <alignment horizontal="left" vertical="center" indent="1"/>
    </xf>
    <xf numFmtId="0" fontId="7" fillId="0" borderId="0" xfId="0" applyFont="1" applyAlignment="1">
      <alignment horizontal="left" vertical="center" indent="1"/>
    </xf>
    <xf numFmtId="0" fontId="2" fillId="2" borderId="1" xfId="0" applyFont="1" applyFill="1" applyBorder="1">
      <alignment vertical="center"/>
    </xf>
    <xf numFmtId="0" fontId="0" fillId="2" borderId="0" xfId="0" quotePrefix="1" applyFill="1">
      <alignment vertical="center"/>
    </xf>
    <xf numFmtId="0" fontId="0" fillId="2" borderId="0" xfId="0" applyFill="1">
      <alignment vertical="center"/>
    </xf>
    <xf numFmtId="0" fontId="8" fillId="0" borderId="0" xfId="0" applyFont="1" applyAlignment="1">
      <alignment vertical="center" wrapText="1"/>
    </xf>
    <xf numFmtId="0" fontId="8" fillId="0" borderId="0" xfId="0" applyFont="1">
      <alignment vertical="center"/>
    </xf>
    <xf numFmtId="0" fontId="9" fillId="0" borderId="0" xfId="0" applyFont="1">
      <alignment vertical="center"/>
    </xf>
    <xf numFmtId="0" fontId="10" fillId="0" borderId="0" xfId="0" applyFont="1">
      <alignment vertical="center"/>
    </xf>
    <xf numFmtId="0" fontId="4" fillId="0" borderId="0" xfId="0" applyFont="1">
      <alignment vertical="center"/>
    </xf>
    <xf numFmtId="0" fontId="4" fillId="0" borderId="0" xfId="0" quotePrefix="1" applyFont="1" applyAlignment="1">
      <alignment horizontal="left" vertical="center" indent="1"/>
    </xf>
    <xf numFmtId="0" fontId="11" fillId="0" borderId="0" xfId="0" applyFont="1">
      <alignment vertical="center"/>
    </xf>
    <xf numFmtId="0" fontId="11" fillId="0" borderId="0" xfId="0" quotePrefix="1" applyFont="1">
      <alignment vertical="center"/>
    </xf>
    <xf numFmtId="0" fontId="12" fillId="0" borderId="0" xfId="0" applyFont="1">
      <alignment vertical="center"/>
    </xf>
    <xf numFmtId="176" fontId="3" fillId="0" borderId="1" xfId="0" applyNumberFormat="1" applyFont="1" applyBorder="1" applyAlignment="1">
      <alignment horizontal="center" vertical="center" wrapText="1"/>
    </xf>
    <xf numFmtId="0" fontId="13" fillId="0" borderId="0" xfId="0" applyFont="1">
      <alignment vertical="center"/>
    </xf>
    <xf numFmtId="0" fontId="14" fillId="0" borderId="0" xfId="0" applyFont="1">
      <alignment vertical="center"/>
    </xf>
    <xf numFmtId="176" fontId="2" fillId="0" borderId="1" xfId="0" applyNumberFormat="1" applyFont="1" applyBorder="1" applyAlignment="1">
      <alignment horizontal="center" vertical="center" wrapText="1"/>
    </xf>
    <xf numFmtId="0" fontId="7" fillId="0" borderId="0" xfId="0" quotePrefix="1" applyFont="1" applyAlignment="1">
      <alignment horizontal="left" vertical="center" wrapText="1" indent="1"/>
    </xf>
    <xf numFmtId="0" fontId="0" fillId="2" borderId="1" xfId="0" applyFill="1" applyBorder="1">
      <alignment vertical="center"/>
    </xf>
    <xf numFmtId="0" fontId="0" fillId="0" borderId="0" xfId="0" quotePrefix="1" applyAlignment="1">
      <alignment horizontal="left" vertical="top"/>
    </xf>
    <xf numFmtId="0" fontId="0" fillId="0" borderId="0" xfId="0" applyAlignment="1">
      <alignment horizontal="left" vertical="top"/>
    </xf>
    <xf numFmtId="0" fontId="7" fillId="0" borderId="0" xfId="0" quotePrefix="1" applyFont="1">
      <alignment vertical="center"/>
    </xf>
    <xf numFmtId="0" fontId="0" fillId="3" borderId="0" xfId="0" quotePrefix="1" applyFill="1">
      <alignment vertical="center"/>
    </xf>
    <xf numFmtId="0" fontId="0" fillId="3" borderId="0" xfId="0" applyFill="1">
      <alignment vertical="center"/>
    </xf>
    <xf numFmtId="0" fontId="11" fillId="3" borderId="0" xfId="0" quotePrefix="1" applyFont="1" applyFill="1">
      <alignment vertical="center"/>
    </xf>
    <xf numFmtId="0" fontId="16" fillId="0" borderId="0" xfId="0" quotePrefix="1" applyFont="1">
      <alignment vertical="center"/>
    </xf>
    <xf numFmtId="0" fontId="0" fillId="3" borderId="1" xfId="0" applyFill="1" applyBorder="1">
      <alignment vertical="center"/>
    </xf>
    <xf numFmtId="0" fontId="2" fillId="4" borderId="1" xfId="0" applyFont="1" applyFill="1" applyBorder="1" applyAlignment="1">
      <alignment horizontal="center" vertical="center"/>
    </xf>
    <xf numFmtId="0" fontId="0" fillId="4" borderId="1" xfId="0" applyFill="1" applyBorder="1">
      <alignment vertical="center"/>
    </xf>
    <xf numFmtId="0" fontId="0" fillId="4" borderId="1" xfId="0" applyFill="1" applyBorder="1" applyAlignment="1">
      <alignment horizontal="center" vertical="center"/>
    </xf>
    <xf numFmtId="0" fontId="6" fillId="4" borderId="0" xfId="0" applyFont="1" applyFill="1">
      <alignment vertical="center"/>
    </xf>
    <xf numFmtId="0" fontId="7" fillId="4" borderId="0" xfId="0" quotePrefix="1" applyFont="1" applyFill="1" applyAlignment="1">
      <alignment horizontal="left" vertical="center" indent="1"/>
    </xf>
    <xf numFmtId="0" fontId="11" fillId="0" borderId="1" xfId="0" applyFont="1" applyBorder="1">
      <alignment vertical="center"/>
    </xf>
    <xf numFmtId="177" fontId="0" fillId="0" borderId="0" xfId="0" applyNumberFormat="1">
      <alignment vertical="center"/>
    </xf>
    <xf numFmtId="0" fontId="0" fillId="0" borderId="3" xfId="0" applyBorder="1" applyAlignment="1">
      <alignment horizontal="center" vertical="center"/>
    </xf>
    <xf numFmtId="0" fontId="0" fillId="0" borderId="5" xfId="0" applyBorder="1" applyAlignment="1">
      <alignment horizontal="center" vertical="center"/>
    </xf>
    <xf numFmtId="14" fontId="2" fillId="5" borderId="1" xfId="0" applyNumberFormat="1" applyFont="1" applyFill="1" applyBorder="1" applyAlignment="1">
      <alignment horizontal="center" vertical="center"/>
    </xf>
    <xf numFmtId="0" fontId="2" fillId="5" borderId="2"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2" fontId="0" fillId="0" borderId="1" xfId="0" applyNumberFormat="1" applyBorder="1" applyAlignment="1">
      <alignment horizontal="center" vertical="center"/>
    </xf>
    <xf numFmtId="0" fontId="0" fillId="0" borderId="6" xfId="0" applyBorder="1" applyAlignment="1">
      <alignment horizontal="center" vertical="center"/>
    </xf>
    <xf numFmtId="1" fontId="0" fillId="0" borderId="5" xfId="0" applyNumberFormat="1" applyBorder="1" applyAlignment="1">
      <alignment horizontal="center" vertical="center"/>
    </xf>
    <xf numFmtId="1" fontId="0" fillId="0" borderId="1" xfId="0" applyNumberFormat="1" applyBorder="1" applyAlignment="1">
      <alignment horizontal="center" vertical="center"/>
    </xf>
    <xf numFmtId="14" fontId="2" fillId="6" borderId="1" xfId="0" applyNumberFormat="1" applyFont="1" applyFill="1" applyBorder="1" applyAlignment="1">
      <alignment horizontal="center" vertical="center"/>
    </xf>
    <xf numFmtId="1" fontId="2" fillId="6" borderId="5" xfId="0" applyNumberFormat="1" applyFont="1" applyFill="1" applyBorder="1" applyAlignment="1">
      <alignment horizontal="center" vertical="center"/>
    </xf>
    <xf numFmtId="0" fontId="17" fillId="4" borderId="1" xfId="0" applyFont="1" applyFill="1" applyBorder="1" applyAlignment="1">
      <alignment horizontal="center" vertical="center"/>
    </xf>
    <xf numFmtId="0" fontId="8" fillId="0" borderId="0" xfId="0" applyFont="1" applyAlignment="1">
      <alignment horizontal="left" vertical="top" wrapText="1"/>
    </xf>
    <xf numFmtId="178" fontId="19" fillId="0" borderId="7" xfId="1" applyFont="1" applyBorder="1" applyAlignment="1">
      <alignment horizontal="center" vertical="center"/>
    </xf>
    <xf numFmtId="178" fontId="19" fillId="0" borderId="8" xfId="1" applyFont="1" applyBorder="1" applyAlignment="1">
      <alignment horizontal="center" vertical="center"/>
    </xf>
  </cellXfs>
  <cellStyles count="2">
    <cellStyle name="표준" xfId="0" builtinId="0"/>
    <cellStyle name="표준 2" xfId="1" xr:uid="{12FABB6C-FD30-4693-B654-D07131607671}"/>
  </cellStyles>
  <dxfs count="0"/>
  <tableStyles count="0" defaultTableStyle="TableStyleMedium2" defaultPivotStyle="PivotStyleLight16"/>
  <colors>
    <mruColors>
      <color rgb="FFFFCC00"/>
      <color rgb="FFFFFF66"/>
      <color rgb="FFCC3300"/>
      <color rgb="FF2E63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'26.08.11 보고자료'!$B$23</c:f>
              <c:strCache>
                <c:ptCount val="1"/>
                <c:pt idx="0">
                  <c:v>HyunDai</c:v>
                </c:pt>
              </c:strCache>
            </c:strRef>
          </c:tx>
          <c:spPr>
            <a:ln w="28575" cap="rnd">
              <a:solidFill>
                <a:schemeClr val="accent1"/>
              </a:solidFill>
              <a:round/>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'26.08.11 보고자료'!$C$22:$F$22</c:f>
              <c:strCache>
                <c:ptCount val="4"/>
                <c:pt idx="0">
                  <c:v>7/27</c:v>
                </c:pt>
                <c:pt idx="1">
                  <c:v>8/3</c:v>
                </c:pt>
                <c:pt idx="2">
                  <c:v>8/10</c:v>
                </c:pt>
                <c:pt idx="3">
                  <c:v>This week assumption </c:v>
                </c:pt>
              </c:strCache>
            </c:strRef>
          </c:cat>
          <c:val>
            <c:numRef>
              <c:f>'26.08.11 보고자료'!$C$23:$F$23</c:f>
              <c:numCache>
                <c:formatCode>General</c:formatCode>
                <c:ptCount val="4"/>
                <c:pt idx="2">
                  <c:v>90</c:v>
                </c:pt>
                <c:pt idx="3">
                  <c:v>80</c:v>
                </c:pt>
              </c:numCache>
            </c:numRef>
          </c:val>
          <c:smooth val="0"/>
          <c:extLst>
            <c:ext xmlns:c16="http://schemas.microsoft.com/office/drawing/2014/chart" uri="{C3380CC4-5D6E-409C-BE32-E72D297353CC}">
              <c16:uniqueId val="{00000000-2D1B-45D6-9E84-62E6A0D4214D}"/>
            </c:ext>
          </c:extLst>
        </c:ser>
        <c:ser>
          <c:idx val="1"/>
          <c:order val="1"/>
          <c:tx>
            <c:strRef>
              <c:f>'26.08.11 보고자료'!$B$24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'26.08.11 보고자료'!$C$22:$F$22</c:f>
              <c:strCache>
                <c:ptCount val="4"/>
                <c:pt idx="0">
                  <c:v>7/27</c:v>
                </c:pt>
                <c:pt idx="1">
                  <c:v>8/3</c:v>
                </c:pt>
                <c:pt idx="2">
                  <c:v>8/10</c:v>
                </c:pt>
                <c:pt idx="3">
                  <c:v>This week assumption </c:v>
                </c:pt>
              </c:strCache>
            </c:strRef>
          </c:cat>
          <c:val>
            <c:numRef>
              <c:f>'26.08.11 보고자료'!$C$24:$F$24</c:f>
              <c:numCache>
                <c:formatCode>General</c:formatCode>
                <c:ptCount val="4"/>
                <c:pt idx="0">
                  <c:v>100</c:v>
                </c:pt>
                <c:pt idx="1">
                  <c:v>80</c:v>
                </c:pt>
                <c:pt idx="2">
                  <c:v>85</c:v>
                </c:pt>
                <c:pt idx="3">
                  <c:v>80</c:v>
                </c:pt>
              </c:numCache>
            </c:numRef>
          </c:val>
          <c:smooth val="0"/>
          <c:extLst>
            <c:ext xmlns:c16="http://schemas.microsoft.com/office/drawing/2014/chart" uri="{C3380CC4-5D6E-409C-BE32-E72D297353CC}">
              <c16:uniqueId val="{00000001-2D1B-45D6-9E84-62E6A0D4214D}"/>
            </c:ext>
          </c:extLst>
        </c:ser>
        <c:ser>
          <c:idx val="2"/>
          <c:order val="2"/>
          <c:tx>
            <c:strRef>
              <c:f>'26.08.11 보고자료'!$B$25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'26.08.11 보고자료'!$C$22:$F$22</c:f>
              <c:strCache>
                <c:ptCount val="4"/>
                <c:pt idx="0">
                  <c:v>7/27</c:v>
                </c:pt>
                <c:pt idx="1">
                  <c:v>8/3</c:v>
                </c:pt>
                <c:pt idx="2">
                  <c:v>8/10</c:v>
                </c:pt>
                <c:pt idx="3">
                  <c:v>This week assumption </c:v>
                </c:pt>
              </c:strCache>
            </c:strRef>
          </c:cat>
          <c:val>
            <c:numRef>
              <c:f>'26.08.11 보고자료'!$C$25:$F$25</c:f>
              <c:numCache>
                <c:formatCode>General</c:formatCode>
                <c:ptCount val="4"/>
                <c:pt idx="0">
                  <c:v>100</c:v>
                </c:pt>
                <c:pt idx="1">
                  <c:v>80</c:v>
                </c:pt>
                <c:pt idx="2">
                  <c:v>80</c:v>
                </c:pt>
                <c:pt idx="3">
                  <c:v>80</c:v>
                </c:pt>
              </c:numCache>
            </c:numRef>
          </c:val>
          <c:smooth val="0"/>
          <c:extLst>
            <c:ext xmlns:c16="http://schemas.microsoft.com/office/drawing/2014/chart" uri="{C3380CC4-5D6E-409C-BE32-E72D297353CC}">
              <c16:uniqueId val="{00000002-2D1B-45D6-9E84-62E6A0D4214D}"/>
            </c:ext>
          </c:extLst>
        </c:ser>
        <c:ser>
          <c:idx val="3"/>
          <c:order val="3"/>
          <c:tx>
            <c:strRef>
              <c:f>'26.08.11 보고자료'!$B$26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'26.08.11 보고자료'!$C$22:$F$22</c:f>
              <c:strCache>
                <c:ptCount val="4"/>
                <c:pt idx="0">
                  <c:v>7/27</c:v>
                </c:pt>
                <c:pt idx="1">
                  <c:v>8/3</c:v>
                </c:pt>
                <c:pt idx="2">
                  <c:v>8/10</c:v>
                </c:pt>
                <c:pt idx="3">
                  <c:v>This week assumption </c:v>
                </c:pt>
              </c:strCache>
            </c:strRef>
          </c:cat>
          <c:val>
            <c:numRef>
              <c:f>'26.08.11 보고자료'!$C$26:$F$26</c:f>
              <c:numCache>
                <c:formatCode>General</c:formatCode>
                <c:ptCount val="4"/>
                <c:pt idx="2">
                  <c:v>70</c:v>
                </c:pt>
              </c:numCache>
            </c:numRef>
          </c:val>
          <c:smooth val="0"/>
          <c:extLst>
            <c:ext xmlns:c16="http://schemas.microsoft.com/office/drawing/2014/chart" uri="{C3380CC4-5D6E-409C-BE32-E72D297353CC}">
              <c16:uniqueId val="{00000003-2D1B-45D6-9E84-62E6A0D4214D}"/>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'26.08.11 보고자료'!$O$23</c:f>
              <c:strCache>
                <c:ptCount val="1"/>
                <c:pt idx="0">
                  <c:v>Korea-South</c:v>
                </c:pt>
              </c:strCache>
            </c:strRef>
          </c:tx>
          <c:spPr>
            <a:ln w="28575" cap="rnd">
              <a:solidFill>
                <a:schemeClr val="accent1"/>
              </a:solidFill>
              <a:round/>
            </a:ln>
            <a:effectLst/>
          </c:spPr>
          <c:marker>
            <c:symbol val="circle"/>
            <c:size val="5"/>
            <c:spPr>
              <a:solidFill>
                <a:schemeClr val="accent1"/>
              </a:solidFill>
              <a:ln w="9525">
                <a:solidFill>
                  <a:srgbClr val="002060"/>
                </a:solidFill>
              </a:ln>
              <a:effectLst/>
            </c:spPr>
          </c:marker>
          <c:dLbls>
            <c:dLbl>
              <c:idx val="0"/>
              <c:layout>
                <c:manualLayout>
                  <c:x val="-3.5094773158577943E-3"/>
                  <c:y val="-3.3865212720200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E4-46E7-93F1-7EC36EA987DF}"/>
                </c:ext>
              </c:extLst>
            </c:dLbl>
            <c:dLbl>
              <c:idx val="1"/>
              <c:layout>
                <c:manualLayout>
                  <c:x val="-1.7547386579288972E-3"/>
                  <c:y val="-3.38652127202005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E4-46E7-93F1-7EC36EA987DF}"/>
                </c:ext>
              </c:extLst>
            </c:dLbl>
            <c:dLbl>
              <c:idx val="2"/>
              <c:layout>
                <c:manualLayout>
                  <c:x val="-1.0528431947573382E-2"/>
                  <c:y val="-2.3705648904140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E4-46E7-93F1-7EC36EA987D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'26.08.11 보고자료'!$P$22:$R$22</c:f>
              <c:numCache>
                <c:formatCode>m"/"d;@</c:formatCode>
                <c:ptCount val="3"/>
                <c:pt idx="0">
                  <c:v>46230</c:v>
                </c:pt>
                <c:pt idx="1">
                  <c:v>46237</c:v>
                </c:pt>
                <c:pt idx="2">
                  <c:v>46244</c:v>
                </c:pt>
              </c:numCache>
            </c:numRef>
          </c:cat>
          <c:val>
            <c:numRef>
              <c:f>'26.08.11 보고자료'!$P$23:$R$23</c:f>
              <c:numCache>
                <c:formatCode>General</c:formatCode>
                <c:ptCount val="3"/>
                <c:pt idx="0">
                  <c:v>786</c:v>
                </c:pt>
                <c:pt idx="1">
                  <c:v>810</c:v>
                </c:pt>
                <c:pt idx="2">
                  <c:v>800</c:v>
                </c:pt>
              </c:numCache>
            </c:numRef>
          </c:val>
          <c:smooth val="0"/>
          <c:extLst>
            <c:ext xmlns:c16="http://schemas.microsoft.com/office/drawing/2014/chart" uri="{C3380CC4-5D6E-409C-BE32-E72D297353CC}">
              <c16:uniqueId val="{00000003-D4E4-46E7-93F1-7EC36EA987DF}"/>
            </c:ext>
          </c:extLst>
        </c:ser>
        <c:ser>
          <c:idx val="1"/>
          <c:order val="1"/>
          <c:tx>
            <c:strRef>
              <c:f>'26.08.11 보고자료'!$O$24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dLbl>
              <c:idx val="0"/>
              <c:layout>
                <c:manualLayout>
                  <c:x val="-5.2642159737866911E-3"/>
                  <c:y val="5.0797819080300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E4-46E7-93F1-7EC36EA987DF}"/>
                </c:ext>
              </c:extLst>
            </c:dLbl>
            <c:dLbl>
              <c:idx val="2"/>
              <c:layout>
                <c:manualLayout>
                  <c:x val="-1.2283170605502408E-2"/>
                  <c:y val="3.38652127202005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E4-46E7-93F1-7EC36EA987D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'26.08.11 보고자료'!$P$22:$R$22</c:f>
              <c:numCache>
                <c:formatCode>m"/"d;@</c:formatCode>
                <c:ptCount val="3"/>
                <c:pt idx="0">
                  <c:v>46230</c:v>
                </c:pt>
                <c:pt idx="1">
                  <c:v>46237</c:v>
                </c:pt>
                <c:pt idx="2">
                  <c:v>46244</c:v>
                </c:pt>
              </c:numCache>
            </c:numRef>
          </c:cat>
          <c:val>
            <c:numRef>
              <c:f>'26.08.11 보고자료'!$P$24:$R$24</c:f>
              <c:numCache>
                <c:formatCode>General</c:formatCode>
                <c:ptCount val="3"/>
                <c:pt idx="0">
                  <c:v>845</c:v>
                </c:pt>
                <c:pt idx="1">
                  <c:v>858</c:v>
                </c:pt>
                <c:pt idx="2">
                  <c:v>810</c:v>
                </c:pt>
              </c:numCache>
            </c:numRef>
          </c:val>
          <c:smooth val="0"/>
          <c:extLst>
            <c:ext xmlns:c16="http://schemas.microsoft.com/office/drawing/2014/chart" uri="{C3380CC4-5D6E-409C-BE32-E72D297353CC}">
              <c16:uniqueId val="{00000006-D4E4-46E7-93F1-7EC36EA987DF}"/>
            </c:ext>
          </c:extLst>
        </c:ser>
        <c:ser>
          <c:idx val="2"/>
          <c:order val="2"/>
          <c:tx>
            <c:strRef>
              <c:f>'26.08.11 보고자료'!$O$25</c:f>
              <c:strCache>
                <c:ptCount val="1"/>
                <c:pt idx="0">
                  <c:v>Nagoya</c:v>
                </c:pt>
              </c:strCache>
            </c:strRef>
          </c:tx>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'26.08.11 보고자료'!$P$22:$R$22</c:f>
              <c:numCache>
                <c:formatCode>m"/"d;@</c:formatCode>
                <c:ptCount val="3"/>
                <c:pt idx="0">
                  <c:v>46230</c:v>
                </c:pt>
                <c:pt idx="1">
                  <c:v>46237</c:v>
                </c:pt>
                <c:pt idx="2">
                  <c:v>46244</c:v>
                </c:pt>
              </c:numCache>
            </c:numRef>
          </c:cat>
          <c:val>
            <c:numRef>
              <c:f>'26.08.11 보고자료'!$P$25:$R$25</c:f>
              <c:numCache>
                <c:formatCode>General</c:formatCode>
                <c:ptCount val="3"/>
                <c:pt idx="0">
                  <c:v>880</c:v>
                </c:pt>
                <c:pt idx="1">
                  <c:v>870</c:v>
                </c:pt>
                <c:pt idx="2">
                  <c:v>860</c:v>
                </c:pt>
              </c:numCache>
            </c:numRef>
          </c:val>
          <c:smooth val="0"/>
          <c:extLst>
            <c:ext xmlns:c16="http://schemas.microsoft.com/office/drawing/2014/chart" uri="{C3380CC4-5D6E-409C-BE32-E72D297353CC}">
              <c16:uniqueId val="{00000007-D4E4-46E7-93F1-7EC36EA987DF}"/>
            </c:ext>
          </c:extLst>
        </c:ser>
        <c:ser>
          <c:idx val="3"/>
          <c:order val="3"/>
          <c:tx>
            <c:strRef>
              <c:f>'26.08.11 보고자료'!$O$26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dLbl>
              <c:idx val="0"/>
              <c:layout>
                <c:manualLayout>
                  <c:x val="-3.5094773158577943E-3"/>
                  <c:y val="2.37056489041403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4E4-46E7-93F1-7EC36EA987DF}"/>
                </c:ext>
              </c:extLst>
            </c:dLbl>
            <c:dLbl>
              <c:idx val="1"/>
              <c:layout>
                <c:manualLayout>
                  <c:x val="-6.4339674199986214E-17"/>
                  <c:y val="1.6932606360100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4E4-46E7-93F1-7EC36EA987DF}"/>
                </c:ext>
              </c:extLst>
            </c:dLbl>
            <c:dLbl>
              <c:idx val="2"/>
              <c:layout>
                <c:manualLayout>
                  <c:x val="-1.2283170605502408E-2"/>
                  <c:y val="3.04786914481805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4E4-46E7-93F1-7EC36EA987D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'26.08.11 보고자료'!$P$22:$R$22</c:f>
              <c:numCache>
                <c:formatCode>m"/"d;@</c:formatCode>
                <c:ptCount val="3"/>
                <c:pt idx="0">
                  <c:v>46230</c:v>
                </c:pt>
                <c:pt idx="1">
                  <c:v>46237</c:v>
                </c:pt>
                <c:pt idx="2">
                  <c:v>46244</c:v>
                </c:pt>
              </c:numCache>
            </c:numRef>
          </c:cat>
          <c:val>
            <c:numRef>
              <c:f>'26.08.11 보고자료'!$P$26:$R$26</c:f>
              <c:numCache>
                <c:formatCode>General</c:formatCode>
                <c:ptCount val="3"/>
                <c:pt idx="0">
                  <c:v>760</c:v>
                </c:pt>
                <c:pt idx="1">
                  <c:v>785</c:v>
                </c:pt>
                <c:pt idx="2">
                  <c:v>810</c:v>
                </c:pt>
              </c:numCache>
            </c:numRef>
          </c:val>
          <c:smooth val="0"/>
          <c:extLst>
            <c:ext xmlns:c16="http://schemas.microsoft.com/office/drawing/2014/chart" uri="{C3380CC4-5D6E-409C-BE32-E72D297353CC}">
              <c16:uniqueId val="{0000000B-D4E4-46E7-93F1-7EC36EA987DF}"/>
            </c:ext>
          </c:extLst>
        </c:ser>
        <c:ser>
          <c:idx val="4"/>
          <c:order val="4"/>
          <c:tx>
            <c:strRef>
              <c:f>'26.08.11 보고자료'!$O$27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'26.08.11 보고자료'!$P$22:$R$22</c:f>
              <c:numCache>
                <c:formatCode>m"/"d;@</c:formatCode>
                <c:ptCount val="3"/>
                <c:pt idx="0">
                  <c:v>46230</c:v>
                </c:pt>
                <c:pt idx="1">
                  <c:v>46237</c:v>
                </c:pt>
                <c:pt idx="2">
                  <c:v>46244</c:v>
                </c:pt>
              </c:numCache>
            </c:numRef>
          </c:cat>
          <c:val>
            <c:numRef>
              <c:f>'26.08.11 보고자료'!$P$27:$R$27</c:f>
              <c:numCache>
                <c:formatCode>General</c:formatCode>
                <c:ptCount val="3"/>
              </c:numCache>
            </c:numRef>
          </c:val>
          <c:smooth val="0"/>
          <c:extLst>
            <c:ext xmlns:c16="http://schemas.microsoft.com/office/drawing/2014/chart" uri="{C3380CC4-5D6E-409C-BE32-E72D297353CC}">
              <c16:uniqueId val="{0000000C-D4E4-46E7-93F1-7EC36EA987DF}"/>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'26.08.04 보고자료'!$B$23</c:f>
              <c:strCache>
                <c:ptCount val="1"/>
                <c:pt idx="0">
                  <c:v>HyunDai</c:v>
                </c:pt>
              </c:strCache>
            </c:strRef>
          </c:tx>
          <c:spPr>
            <a:ln w="28575" cap="rnd">
              <a:solidFill>
                <a:schemeClr val="accent1"/>
              </a:solidFill>
              <a:round/>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'26.08.04 보고자료'!$C$22:$F$22</c:f>
              <c:strCache>
                <c:ptCount val="4"/>
                <c:pt idx="0">
                  <c:v>7/20</c:v>
                </c:pt>
                <c:pt idx="1">
                  <c:v>7/27</c:v>
                </c:pt>
                <c:pt idx="2">
                  <c:v>8/3</c:v>
                </c:pt>
                <c:pt idx="3">
                  <c:v>This week assumption </c:v>
                </c:pt>
              </c:strCache>
            </c:strRef>
          </c:cat>
          <c:val>
            <c:numRef>
              <c:f>'26.08.04 보고자료'!$C$23:$F$23</c:f>
              <c:numCache>
                <c:formatCode>General</c:formatCode>
                <c:ptCount val="4"/>
                <c:pt idx="0">
                  <c:v>130</c:v>
                </c:pt>
              </c:numCache>
            </c:numRef>
          </c:val>
          <c:smooth val="0"/>
          <c:extLst>
            <c:ext xmlns:c16="http://schemas.microsoft.com/office/drawing/2014/chart" uri="{C3380CC4-5D6E-409C-BE32-E72D297353CC}">
              <c16:uniqueId val="{00000000-2BC3-4D23-B626-3BE87F1C538C}"/>
            </c:ext>
          </c:extLst>
        </c:ser>
        <c:ser>
          <c:idx val="1"/>
          <c:order val="1"/>
          <c:tx>
            <c:strRef>
              <c:f>'26.08.04 보고자료'!$B$24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'26.08.04 보고자료'!$C$22:$F$22</c:f>
              <c:strCache>
                <c:ptCount val="4"/>
                <c:pt idx="0">
                  <c:v>7/20</c:v>
                </c:pt>
                <c:pt idx="1">
                  <c:v>7/27</c:v>
                </c:pt>
                <c:pt idx="2">
                  <c:v>8/3</c:v>
                </c:pt>
                <c:pt idx="3">
                  <c:v>This week assumption </c:v>
                </c:pt>
              </c:strCache>
            </c:strRef>
          </c:cat>
          <c:val>
            <c:numRef>
              <c:f>'26.08.04 보고자료'!$C$24:$F$24</c:f>
              <c:numCache>
                <c:formatCode>General</c:formatCode>
                <c:ptCount val="4"/>
                <c:pt idx="0">
                  <c:v>120</c:v>
                </c:pt>
                <c:pt idx="1">
                  <c:v>100</c:v>
                </c:pt>
                <c:pt idx="2">
                  <c:v>80</c:v>
                </c:pt>
                <c:pt idx="3">
                  <c:v>80</c:v>
                </c:pt>
              </c:numCache>
            </c:numRef>
          </c:val>
          <c:smooth val="0"/>
          <c:extLst>
            <c:ext xmlns:c16="http://schemas.microsoft.com/office/drawing/2014/chart" uri="{C3380CC4-5D6E-409C-BE32-E72D297353CC}">
              <c16:uniqueId val="{00000001-2BC3-4D23-B626-3BE87F1C538C}"/>
            </c:ext>
          </c:extLst>
        </c:ser>
        <c:ser>
          <c:idx val="2"/>
          <c:order val="2"/>
          <c:tx>
            <c:strRef>
              <c:f>'26.08.04 보고자료'!$B$25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'26.08.04 보고자료'!$C$22:$F$22</c:f>
              <c:strCache>
                <c:ptCount val="4"/>
                <c:pt idx="0">
                  <c:v>7/20</c:v>
                </c:pt>
                <c:pt idx="1">
                  <c:v>7/27</c:v>
                </c:pt>
                <c:pt idx="2">
                  <c:v>8/3</c:v>
                </c:pt>
                <c:pt idx="3">
                  <c:v>This week assumption </c:v>
                </c:pt>
              </c:strCache>
            </c:strRef>
          </c:cat>
          <c:val>
            <c:numRef>
              <c:f>'26.08.04 보고자료'!$C$25:$F$25</c:f>
              <c:numCache>
                <c:formatCode>General</c:formatCode>
                <c:ptCount val="4"/>
                <c:pt idx="0">
                  <c:v>120</c:v>
                </c:pt>
                <c:pt idx="1">
                  <c:v>100</c:v>
                </c:pt>
                <c:pt idx="2">
                  <c:v>80</c:v>
                </c:pt>
                <c:pt idx="3">
                  <c:v>80</c:v>
                </c:pt>
              </c:numCache>
            </c:numRef>
          </c:val>
          <c:smooth val="0"/>
          <c:extLst>
            <c:ext xmlns:c16="http://schemas.microsoft.com/office/drawing/2014/chart" uri="{C3380CC4-5D6E-409C-BE32-E72D297353CC}">
              <c16:uniqueId val="{00000002-2BC3-4D23-B626-3BE87F1C538C}"/>
            </c:ext>
          </c:extLst>
        </c:ser>
        <c:ser>
          <c:idx val="3"/>
          <c:order val="3"/>
          <c:tx>
            <c:strRef>
              <c:f>'26.08.04 보고자료'!$B$26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'26.08.04 보고자료'!$C$22:$F$22</c:f>
              <c:strCache>
                <c:ptCount val="4"/>
                <c:pt idx="0">
                  <c:v>7/20</c:v>
                </c:pt>
                <c:pt idx="1">
                  <c:v>7/27</c:v>
                </c:pt>
                <c:pt idx="2">
                  <c:v>8/3</c:v>
                </c:pt>
                <c:pt idx="3">
                  <c:v>This week assumption </c:v>
                </c:pt>
              </c:strCache>
            </c:strRef>
          </c:cat>
          <c:val>
            <c:numRef>
              <c:f>'26.08.04 보고자료'!$C$26:$F$26</c:f>
              <c:numCache>
                <c:formatCode>General</c:formatCode>
                <c:ptCount val="4"/>
                <c:pt idx="3">
                  <c:v>80</c:v>
                </c:pt>
              </c:numCache>
            </c:numRef>
          </c:val>
          <c:smooth val="0"/>
          <c:extLst>
            <c:ext xmlns:c16="http://schemas.microsoft.com/office/drawing/2014/chart" uri="{C3380CC4-5D6E-409C-BE32-E72D297353CC}">
              <c16:uniqueId val="{00000003-2BC3-4D23-B626-3BE87F1C538C}"/>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'26.08.04 보고자료'!$O$23</c:f>
              <c:strCache>
                <c:ptCount val="1"/>
                <c:pt idx="0">
                  <c:v>Korea-South</c:v>
                </c:pt>
              </c:strCache>
            </c:strRef>
          </c:tx>
          <c:spPr>
            <a:ln w="28575" cap="rnd">
              <a:solidFill>
                <a:schemeClr val="accent1"/>
              </a:solidFill>
              <a:round/>
            </a:ln>
            <a:effectLst/>
          </c:spPr>
          <c:marker>
            <c:symbol val="circle"/>
            <c:size val="5"/>
            <c:spPr>
              <a:solidFill>
                <a:schemeClr val="accent1"/>
              </a:solidFill>
              <a:ln w="9525">
                <a:solidFill>
                  <a:srgbClr val="002060"/>
                </a:solidFill>
              </a:ln>
              <a:effectLst/>
            </c:spPr>
          </c:marker>
          <c:dLbls>
            <c:dLbl>
              <c:idx val="0"/>
              <c:layout>
                <c:manualLayout>
                  <c:x val="-3.5094773158577943E-3"/>
                  <c:y val="-3.3865212720200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19-4C3B-852B-8FF571A7983C}"/>
                </c:ext>
              </c:extLst>
            </c:dLbl>
            <c:dLbl>
              <c:idx val="1"/>
              <c:layout>
                <c:manualLayout>
                  <c:x val="-1.7547386579288972E-3"/>
                  <c:y val="-3.38652127202005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19-4C3B-852B-8FF571A7983C}"/>
                </c:ext>
              </c:extLst>
            </c:dLbl>
            <c:dLbl>
              <c:idx val="2"/>
              <c:layout>
                <c:manualLayout>
                  <c:x val="-1.0528431947573382E-2"/>
                  <c:y val="-2.3705648904140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F19-4C3B-852B-8FF571A7983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'26.08.04 보고자료'!$P$22:$R$22</c:f>
              <c:numCache>
                <c:formatCode>m"/"d;@</c:formatCode>
                <c:ptCount val="3"/>
                <c:pt idx="0">
                  <c:v>46223</c:v>
                </c:pt>
                <c:pt idx="1">
                  <c:v>46230</c:v>
                </c:pt>
                <c:pt idx="2">
                  <c:v>46237</c:v>
                </c:pt>
              </c:numCache>
            </c:numRef>
          </c:cat>
          <c:val>
            <c:numRef>
              <c:f>'26.08.04 보고자료'!$P$23:$R$23</c:f>
              <c:numCache>
                <c:formatCode>General</c:formatCode>
                <c:ptCount val="3"/>
                <c:pt idx="0">
                  <c:v>780</c:v>
                </c:pt>
                <c:pt idx="1">
                  <c:v>786</c:v>
                </c:pt>
                <c:pt idx="2">
                  <c:v>810</c:v>
                </c:pt>
              </c:numCache>
            </c:numRef>
          </c:val>
          <c:smooth val="0"/>
          <c:extLst>
            <c:ext xmlns:c16="http://schemas.microsoft.com/office/drawing/2014/chart" uri="{C3380CC4-5D6E-409C-BE32-E72D297353CC}">
              <c16:uniqueId val="{00000003-FF19-4C3B-852B-8FF571A7983C}"/>
            </c:ext>
          </c:extLst>
        </c:ser>
        <c:ser>
          <c:idx val="1"/>
          <c:order val="1"/>
          <c:tx>
            <c:strRef>
              <c:f>'26.08.04 보고자료'!$O$24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dLbl>
              <c:idx val="0"/>
              <c:layout>
                <c:manualLayout>
                  <c:x val="-5.2642159737866911E-3"/>
                  <c:y val="5.0797819080300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F19-4C3B-852B-8FF571A7983C}"/>
                </c:ext>
              </c:extLst>
            </c:dLbl>
            <c:dLbl>
              <c:idx val="2"/>
              <c:layout>
                <c:manualLayout>
                  <c:x val="-1.2283170605502408E-2"/>
                  <c:y val="3.38652127202005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19-4C3B-852B-8FF571A7983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'26.08.04 보고자료'!$P$22:$R$22</c:f>
              <c:numCache>
                <c:formatCode>m"/"d;@</c:formatCode>
                <c:ptCount val="3"/>
                <c:pt idx="0">
                  <c:v>46223</c:v>
                </c:pt>
                <c:pt idx="1">
                  <c:v>46230</c:v>
                </c:pt>
                <c:pt idx="2">
                  <c:v>46237</c:v>
                </c:pt>
              </c:numCache>
            </c:numRef>
          </c:cat>
          <c:val>
            <c:numRef>
              <c:f>'26.08.04 보고자료'!$P$24:$R$24</c:f>
              <c:numCache>
                <c:formatCode>General</c:formatCode>
                <c:ptCount val="3"/>
                <c:pt idx="0">
                  <c:v>798</c:v>
                </c:pt>
                <c:pt idx="1">
                  <c:v>845</c:v>
                </c:pt>
                <c:pt idx="2">
                  <c:v>858</c:v>
                </c:pt>
              </c:numCache>
            </c:numRef>
          </c:val>
          <c:smooth val="0"/>
          <c:extLst>
            <c:ext xmlns:c16="http://schemas.microsoft.com/office/drawing/2014/chart" uri="{C3380CC4-5D6E-409C-BE32-E72D297353CC}">
              <c16:uniqueId val="{00000006-FF19-4C3B-852B-8FF571A7983C}"/>
            </c:ext>
          </c:extLst>
        </c:ser>
        <c:ser>
          <c:idx val="2"/>
          <c:order val="2"/>
          <c:tx>
            <c:strRef>
              <c:f>'26.08.04 보고자료'!$O$25</c:f>
              <c:strCache>
                <c:ptCount val="1"/>
                <c:pt idx="0">
                  <c:v>Nagoya</c:v>
                </c:pt>
              </c:strCache>
            </c:strRef>
          </c:tx>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'26.08.04 보고자료'!$P$22:$R$22</c:f>
              <c:numCache>
                <c:formatCode>m"/"d;@</c:formatCode>
                <c:ptCount val="3"/>
                <c:pt idx="0">
                  <c:v>46223</c:v>
                </c:pt>
                <c:pt idx="1">
                  <c:v>46230</c:v>
                </c:pt>
                <c:pt idx="2">
                  <c:v>46237</c:v>
                </c:pt>
              </c:numCache>
            </c:numRef>
          </c:cat>
          <c:val>
            <c:numRef>
              <c:f>'26.08.04 보고자료'!$P$25:$R$25</c:f>
              <c:numCache>
                <c:formatCode>General</c:formatCode>
                <c:ptCount val="3"/>
                <c:pt idx="0">
                  <c:v>890</c:v>
                </c:pt>
                <c:pt idx="1">
                  <c:v>880</c:v>
                </c:pt>
                <c:pt idx="2">
                  <c:v>870</c:v>
                </c:pt>
              </c:numCache>
            </c:numRef>
          </c:val>
          <c:smooth val="0"/>
          <c:extLst>
            <c:ext xmlns:c16="http://schemas.microsoft.com/office/drawing/2014/chart" uri="{C3380CC4-5D6E-409C-BE32-E72D297353CC}">
              <c16:uniqueId val="{00000007-FF19-4C3B-852B-8FF571A7983C}"/>
            </c:ext>
          </c:extLst>
        </c:ser>
        <c:ser>
          <c:idx val="3"/>
          <c:order val="3"/>
          <c:tx>
            <c:strRef>
              <c:f>'26.08.04 보고자료'!$O$26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dLbl>
              <c:idx val="0"/>
              <c:layout>
                <c:manualLayout>
                  <c:x val="-3.5094773158577943E-3"/>
                  <c:y val="2.37056489041403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F19-4C3B-852B-8FF571A7983C}"/>
                </c:ext>
              </c:extLst>
            </c:dLbl>
            <c:dLbl>
              <c:idx val="1"/>
              <c:layout>
                <c:manualLayout>
                  <c:x val="-6.4339674199986214E-17"/>
                  <c:y val="1.6932606360100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F19-4C3B-852B-8FF571A7983C}"/>
                </c:ext>
              </c:extLst>
            </c:dLbl>
            <c:dLbl>
              <c:idx val="2"/>
              <c:layout>
                <c:manualLayout>
                  <c:x val="-1.2283170605502408E-2"/>
                  <c:y val="3.04786914481805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F19-4C3B-852B-8FF571A7983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'26.08.04 보고자료'!$P$22:$R$22</c:f>
              <c:numCache>
                <c:formatCode>m"/"d;@</c:formatCode>
                <c:ptCount val="3"/>
                <c:pt idx="0">
                  <c:v>46223</c:v>
                </c:pt>
                <c:pt idx="1">
                  <c:v>46230</c:v>
                </c:pt>
                <c:pt idx="2">
                  <c:v>46237</c:v>
                </c:pt>
              </c:numCache>
            </c:numRef>
          </c:cat>
          <c:val>
            <c:numRef>
              <c:f>'26.08.04 보고자료'!$P$26:$R$26</c:f>
              <c:numCache>
                <c:formatCode>General</c:formatCode>
                <c:ptCount val="3"/>
                <c:pt idx="0">
                  <c:v>755</c:v>
                </c:pt>
                <c:pt idx="1">
                  <c:v>760</c:v>
                </c:pt>
                <c:pt idx="2">
                  <c:v>785</c:v>
                </c:pt>
              </c:numCache>
            </c:numRef>
          </c:val>
          <c:smooth val="0"/>
          <c:extLst>
            <c:ext xmlns:c16="http://schemas.microsoft.com/office/drawing/2014/chart" uri="{C3380CC4-5D6E-409C-BE32-E72D297353CC}">
              <c16:uniqueId val="{0000000B-FF19-4C3B-852B-8FF571A7983C}"/>
            </c:ext>
          </c:extLst>
        </c:ser>
        <c:ser>
          <c:idx val="4"/>
          <c:order val="4"/>
          <c:tx>
            <c:strRef>
              <c:f>'26.08.04 보고자료'!$O$27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'26.08.04 보고자료'!$P$22:$R$22</c:f>
              <c:numCache>
                <c:formatCode>m"/"d;@</c:formatCode>
                <c:ptCount val="3"/>
                <c:pt idx="0">
                  <c:v>46223</c:v>
                </c:pt>
                <c:pt idx="1">
                  <c:v>46230</c:v>
                </c:pt>
                <c:pt idx="2">
                  <c:v>46237</c:v>
                </c:pt>
              </c:numCache>
            </c:numRef>
          </c:cat>
          <c:val>
            <c:numRef>
              <c:f>'26.08.04 보고자료'!$P$27:$R$27</c:f>
              <c:numCache>
                <c:formatCode>General</c:formatCode>
                <c:ptCount val="3"/>
              </c:numCache>
            </c:numRef>
          </c:val>
          <c:smooth val="0"/>
          <c:extLst>
            <c:ext xmlns:c16="http://schemas.microsoft.com/office/drawing/2014/chart" uri="{C3380CC4-5D6E-409C-BE32-E72D297353CC}">
              <c16:uniqueId val="{0000000C-FF19-4C3B-852B-8FF571A7983C}"/>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'26.06.09 보고자료'!$B$23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'26.06.09 보고자료'!$C$22:$F$22</c:f>
              <c:strCache>
                <c:ptCount val="4"/>
                <c:pt idx="0">
                  <c:v>5/25</c:v>
                </c:pt>
                <c:pt idx="1">
                  <c:v>6/1</c:v>
                </c:pt>
                <c:pt idx="2">
                  <c:v>6/8</c:v>
                </c:pt>
                <c:pt idx="3">
                  <c:v>This week assumption </c:v>
                </c:pt>
              </c:strCache>
            </c:strRef>
          </c:cat>
          <c:val>
            <c:numRef>
              <c:f>'26.06.09 보고자료'!$C$23:$F$23</c:f>
              <c:numCache>
                <c:formatCode>General</c:formatCode>
                <c:ptCount val="4"/>
                <c:pt idx="0">
                  <c:v>50</c:v>
                </c:pt>
                <c:pt idx="1">
                  <c:v>100</c:v>
                </c:pt>
                <c:pt idx="2">
                  <c:v>100</c:v>
                </c:pt>
                <c:pt idx="3">
                  <c:v>100</c:v>
                </c:pt>
              </c:numCache>
            </c:numRef>
          </c:val>
          <c:smooth val="0"/>
          <c:extLst>
            <c:ext xmlns:c16="http://schemas.microsoft.com/office/drawing/2014/chart" uri="{C3380CC4-5D6E-409C-BE32-E72D297353CC}">
              <c16:uniqueId val="{00000000-6D6E-403B-904D-CC6F1FFC9B1B}"/>
            </c:ext>
          </c:extLst>
        </c:ser>
        <c:ser>
          <c:idx val="1"/>
          <c:order val="1"/>
          <c:tx>
            <c:strRef>
              <c:f>'26.06.09 보고자료'!$B$24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'26.06.09 보고자료'!$C$22:$F$22</c:f>
              <c:strCache>
                <c:ptCount val="4"/>
                <c:pt idx="0">
                  <c:v>5/25</c:v>
                </c:pt>
                <c:pt idx="1">
                  <c:v>6/1</c:v>
                </c:pt>
                <c:pt idx="2">
                  <c:v>6/8</c:v>
                </c:pt>
                <c:pt idx="3">
                  <c:v>This week assumption </c:v>
                </c:pt>
              </c:strCache>
            </c:strRef>
          </c:cat>
          <c:val>
            <c:numRef>
              <c:f>'26.06.09 보고자료'!$C$24:$F$24</c:f>
              <c:numCache>
                <c:formatCode>General</c:formatCode>
                <c:ptCount val="4"/>
                <c:pt idx="0">
                  <c:v>20</c:v>
                </c:pt>
                <c:pt idx="1">
                  <c:v>70</c:v>
                </c:pt>
                <c:pt idx="2">
                  <c:v>50</c:v>
                </c:pt>
                <c:pt idx="3">
                  <c:v>50</c:v>
                </c:pt>
              </c:numCache>
            </c:numRef>
          </c:val>
          <c:smooth val="0"/>
          <c:extLst>
            <c:ext xmlns:c16="http://schemas.microsoft.com/office/drawing/2014/chart" uri="{C3380CC4-5D6E-409C-BE32-E72D297353CC}">
              <c16:uniqueId val="{00000001-6D6E-403B-904D-CC6F1FFC9B1B}"/>
            </c:ext>
          </c:extLst>
        </c:ser>
        <c:ser>
          <c:idx val="2"/>
          <c:order val="2"/>
          <c:tx>
            <c:strRef>
              <c:f>'26.06.09 보고자료'!$B$25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'26.06.09 보고자료'!$C$22:$F$22</c:f>
              <c:strCache>
                <c:ptCount val="4"/>
                <c:pt idx="0">
                  <c:v>5/25</c:v>
                </c:pt>
                <c:pt idx="1">
                  <c:v>6/1</c:v>
                </c:pt>
                <c:pt idx="2">
                  <c:v>6/8</c:v>
                </c:pt>
                <c:pt idx="3">
                  <c:v>This week assumption </c:v>
                </c:pt>
              </c:strCache>
            </c:strRef>
          </c:cat>
          <c:val>
            <c:numRef>
              <c:f>'26.06.09 보고자료'!$C$25:$F$25</c:f>
              <c:numCache>
                <c:formatCode>General</c:formatCode>
                <c:ptCount val="4"/>
                <c:pt idx="0">
                  <c:v>50</c:v>
                </c:pt>
                <c:pt idx="1">
                  <c:v>85</c:v>
                </c:pt>
                <c:pt idx="2">
                  <c:v>55</c:v>
                </c:pt>
                <c:pt idx="3">
                  <c:v>55</c:v>
                </c:pt>
              </c:numCache>
            </c:numRef>
          </c:val>
          <c:smooth val="0"/>
          <c:extLst>
            <c:ext xmlns:c16="http://schemas.microsoft.com/office/drawing/2014/chart" uri="{C3380CC4-5D6E-409C-BE32-E72D297353CC}">
              <c16:uniqueId val="{00000002-6D6E-403B-904D-CC6F1FFC9B1B}"/>
            </c:ext>
          </c:extLst>
        </c:ser>
        <c:ser>
          <c:idx val="3"/>
          <c:order val="3"/>
          <c:tx>
            <c:strRef>
              <c:f>'26.06.09 보고자료'!$B$26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'26.06.09 보고자료'!$C$22:$F$22</c:f>
              <c:strCache>
                <c:ptCount val="4"/>
                <c:pt idx="0">
                  <c:v>5/25</c:v>
                </c:pt>
                <c:pt idx="1">
                  <c:v>6/1</c:v>
                </c:pt>
                <c:pt idx="2">
                  <c:v>6/8</c:v>
                </c:pt>
                <c:pt idx="3">
                  <c:v>This week assumption </c:v>
                </c:pt>
              </c:strCache>
            </c:strRef>
          </c:cat>
          <c:val>
            <c:numRef>
              <c:f>'26.06.09 보고자료'!$C$26:$F$26</c:f>
              <c:numCache>
                <c:formatCode>General</c:formatCode>
                <c:ptCount val="4"/>
                <c:pt idx="0">
                  <c:v>30</c:v>
                </c:pt>
                <c:pt idx="1">
                  <c:v>80</c:v>
                </c:pt>
                <c:pt idx="2">
                  <c:v>65</c:v>
                </c:pt>
                <c:pt idx="3">
                  <c:v>65</c:v>
                </c:pt>
              </c:numCache>
            </c:numRef>
          </c:val>
          <c:smooth val="0"/>
          <c:extLst>
            <c:ext xmlns:c16="http://schemas.microsoft.com/office/drawing/2014/chart" uri="{C3380CC4-5D6E-409C-BE32-E72D297353CC}">
              <c16:uniqueId val="{00000003-6D6E-403B-904D-CC6F1FFC9B1B}"/>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'26.06.09 보고자료'!$O$23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dLbl>
              <c:idx val="0"/>
              <c:layout>
                <c:manualLayout>
                  <c:x val="-3.5094773158577943E-3"/>
                  <c:y val="-3.3865212720200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12-4F8F-B346-78255CD7E370}"/>
                </c:ext>
              </c:extLst>
            </c:dLbl>
            <c:dLbl>
              <c:idx val="1"/>
              <c:layout>
                <c:manualLayout>
                  <c:x val="-1.7547386579288972E-3"/>
                  <c:y val="-3.38652127202005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12-4F8F-B346-78255CD7E370}"/>
                </c:ext>
              </c:extLst>
            </c:dLbl>
            <c:dLbl>
              <c:idx val="2"/>
              <c:layout>
                <c:manualLayout>
                  <c:x val="-1.0528431947573382E-2"/>
                  <c:y val="-2.3705648904140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F4-4752-A3B5-883425948DA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'26.06.09 보고자료'!$P$22:$R$22</c:f>
              <c:numCache>
                <c:formatCode>m"/"d;@</c:formatCode>
                <c:ptCount val="3"/>
                <c:pt idx="0">
                  <c:v>46167</c:v>
                </c:pt>
                <c:pt idx="1">
                  <c:v>46174</c:v>
                </c:pt>
                <c:pt idx="2">
                  <c:v>46181</c:v>
                </c:pt>
              </c:numCache>
            </c:numRef>
          </c:cat>
          <c:val>
            <c:numRef>
              <c:f>'26.06.09 보고자료'!$P$23:$R$23</c:f>
              <c:numCache>
                <c:formatCode>General</c:formatCode>
                <c:ptCount val="3"/>
                <c:pt idx="0">
                  <c:v>790</c:v>
                </c:pt>
                <c:pt idx="1">
                  <c:v>795</c:v>
                </c:pt>
                <c:pt idx="2">
                  <c:v>805</c:v>
                </c:pt>
              </c:numCache>
            </c:numRef>
          </c:val>
          <c:smooth val="0"/>
          <c:extLst>
            <c:ext xmlns:c16="http://schemas.microsoft.com/office/drawing/2014/chart" uri="{C3380CC4-5D6E-409C-BE32-E72D297353CC}">
              <c16:uniqueId val="{00000001-F9F4-4752-A3B5-883425948DA7}"/>
            </c:ext>
          </c:extLst>
        </c:ser>
        <c:ser>
          <c:idx val="1"/>
          <c:order val="1"/>
          <c:tx>
            <c:strRef>
              <c:f>'26.06.09 보고자료'!$O$24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dLbl>
              <c:idx val="0"/>
              <c:layout>
                <c:manualLayout>
                  <c:x val="-5.2642159737866911E-3"/>
                  <c:y val="5.0797819080300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12-4F8F-B346-78255CD7E370}"/>
                </c:ext>
              </c:extLst>
            </c:dLbl>
            <c:dLbl>
              <c:idx val="2"/>
              <c:layout>
                <c:manualLayout>
                  <c:x val="-1.2283170605502408E-2"/>
                  <c:y val="3.38652127202005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F4-4752-A3B5-883425948DA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'26.06.09 보고자료'!$P$22:$R$22</c:f>
              <c:numCache>
                <c:formatCode>m"/"d;@</c:formatCode>
                <c:ptCount val="3"/>
                <c:pt idx="0">
                  <c:v>46167</c:v>
                </c:pt>
                <c:pt idx="1">
                  <c:v>46174</c:v>
                </c:pt>
                <c:pt idx="2">
                  <c:v>46181</c:v>
                </c:pt>
              </c:numCache>
            </c:numRef>
          </c:cat>
          <c:val>
            <c:numRef>
              <c:f>'26.06.09 보고자료'!$P$24:$R$24</c:f>
              <c:numCache>
                <c:formatCode>General</c:formatCode>
                <c:ptCount val="3"/>
                <c:pt idx="0">
                  <c:v>770</c:v>
                </c:pt>
                <c:pt idx="1">
                  <c:v>770</c:v>
                </c:pt>
                <c:pt idx="2">
                  <c:v>790</c:v>
                </c:pt>
              </c:numCache>
            </c:numRef>
          </c:val>
          <c:smooth val="0"/>
          <c:extLst>
            <c:ext xmlns:c16="http://schemas.microsoft.com/office/drawing/2014/chart" uri="{C3380CC4-5D6E-409C-BE32-E72D297353CC}">
              <c16:uniqueId val="{00000003-F9F4-4752-A3B5-883425948DA7}"/>
            </c:ext>
          </c:extLst>
        </c:ser>
        <c:ser>
          <c:idx val="2"/>
          <c:order val="2"/>
          <c:tx>
            <c:strRef>
              <c:f>'26.06.09 보고자료'!$O$25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'26.06.09 보고자료'!$P$22:$R$22</c:f>
              <c:numCache>
                <c:formatCode>m"/"d;@</c:formatCode>
                <c:ptCount val="3"/>
                <c:pt idx="0">
                  <c:v>46167</c:v>
                </c:pt>
                <c:pt idx="1">
                  <c:v>46174</c:v>
                </c:pt>
                <c:pt idx="2">
                  <c:v>46181</c:v>
                </c:pt>
              </c:numCache>
            </c:numRef>
          </c:cat>
          <c:val>
            <c:numRef>
              <c:f>'26.06.09 보고자료'!$P$25:$R$25</c:f>
              <c:numCache>
                <c:formatCode>General</c:formatCode>
                <c:ptCount val="3"/>
                <c:pt idx="0">
                  <c:v>1010</c:v>
                </c:pt>
                <c:pt idx="1">
                  <c:v>1015</c:v>
                </c:pt>
                <c:pt idx="2">
                  <c:v>1010</c:v>
                </c:pt>
              </c:numCache>
            </c:numRef>
          </c:val>
          <c:smooth val="0"/>
          <c:extLst>
            <c:ext xmlns:c16="http://schemas.microsoft.com/office/drawing/2014/chart" uri="{C3380CC4-5D6E-409C-BE32-E72D297353CC}">
              <c16:uniqueId val="{00000004-F9F4-4752-A3B5-883425948DA7}"/>
            </c:ext>
          </c:extLst>
        </c:ser>
        <c:ser>
          <c:idx val="3"/>
          <c:order val="3"/>
          <c:tx>
            <c:strRef>
              <c:f>'26.06.09 보고자료'!$O$26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dLbl>
              <c:idx val="0"/>
              <c:layout>
                <c:manualLayout>
                  <c:x val="-3.5094773158577943E-3"/>
                  <c:y val="2.37056489041403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12-4F8F-B346-78255CD7E370}"/>
                </c:ext>
              </c:extLst>
            </c:dLbl>
            <c:dLbl>
              <c:idx val="1"/>
              <c:layout>
                <c:manualLayout>
                  <c:x val="-6.4339674199986214E-17"/>
                  <c:y val="1.6932606360100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12-4F8F-B346-78255CD7E370}"/>
                </c:ext>
              </c:extLst>
            </c:dLbl>
            <c:dLbl>
              <c:idx val="2"/>
              <c:layout>
                <c:manualLayout>
                  <c:x val="-1.2283170605502408E-2"/>
                  <c:y val="3.04786914481805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F4-4752-A3B5-883425948DA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'26.06.09 보고자료'!$P$22:$R$22</c:f>
              <c:numCache>
                <c:formatCode>m"/"d;@</c:formatCode>
                <c:ptCount val="3"/>
                <c:pt idx="0">
                  <c:v>46167</c:v>
                </c:pt>
                <c:pt idx="1">
                  <c:v>46174</c:v>
                </c:pt>
                <c:pt idx="2">
                  <c:v>46181</c:v>
                </c:pt>
              </c:numCache>
            </c:numRef>
          </c:cat>
          <c:val>
            <c:numRef>
              <c:f>'26.06.09 보고자료'!$P$26:$R$26</c:f>
              <c:numCache>
                <c:formatCode>General</c:formatCode>
                <c:ptCount val="3"/>
                <c:pt idx="0">
                  <c:v>780</c:v>
                </c:pt>
                <c:pt idx="1">
                  <c:v>765</c:v>
                </c:pt>
                <c:pt idx="2">
                  <c:v>790</c:v>
                </c:pt>
              </c:numCache>
            </c:numRef>
          </c:val>
          <c:smooth val="0"/>
          <c:extLst>
            <c:ext xmlns:c16="http://schemas.microsoft.com/office/drawing/2014/chart" uri="{C3380CC4-5D6E-409C-BE32-E72D297353CC}">
              <c16:uniqueId val="{00000006-F9F4-4752-A3B5-883425948DA7}"/>
            </c:ext>
          </c:extLst>
        </c:ser>
        <c:ser>
          <c:idx val="4"/>
          <c:order val="4"/>
          <c:tx>
            <c:strRef>
              <c:f>'26.06.09 보고자료'!$O$27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'26.06.09 보고자료'!$P$22:$R$22</c:f>
              <c:numCache>
                <c:formatCode>m"/"d;@</c:formatCode>
                <c:ptCount val="3"/>
                <c:pt idx="0">
                  <c:v>46167</c:v>
                </c:pt>
                <c:pt idx="1">
                  <c:v>46174</c:v>
                </c:pt>
                <c:pt idx="2">
                  <c:v>46181</c:v>
                </c:pt>
              </c:numCache>
            </c:numRef>
          </c:cat>
          <c:val>
            <c:numRef>
              <c:f>'26.06.09 보고자료'!$P$27:$R$27</c:f>
              <c:numCache>
                <c:formatCode>General</c:formatCode>
                <c:ptCount val="3"/>
              </c:numCache>
            </c:numRef>
          </c:val>
          <c:smooth val="0"/>
          <c:extLst>
            <c:ext xmlns:c16="http://schemas.microsoft.com/office/drawing/2014/chart" uri="{C3380CC4-5D6E-409C-BE32-E72D297353CC}">
              <c16:uniqueId val="{00000007-F9F4-4752-A3B5-883425948DA7}"/>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'26.06.02 보고자료'!$B$23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'26.06.02 보고자료'!$C$22:$F$22</c:f>
              <c:strCache>
                <c:ptCount val="4"/>
                <c:pt idx="0">
                  <c:v>5/18</c:v>
                </c:pt>
                <c:pt idx="1">
                  <c:v>5/25</c:v>
                </c:pt>
                <c:pt idx="2">
                  <c:v>6/1</c:v>
                </c:pt>
                <c:pt idx="3">
                  <c:v>This week assumption </c:v>
                </c:pt>
              </c:strCache>
            </c:strRef>
          </c:cat>
          <c:val>
            <c:numRef>
              <c:f>'26.06.02 보고자료'!$C$23:$F$23</c:f>
              <c:numCache>
                <c:formatCode>General</c:formatCode>
                <c:ptCount val="4"/>
                <c:pt idx="0">
                  <c:v>130</c:v>
                </c:pt>
                <c:pt idx="1">
                  <c:v>50</c:v>
                </c:pt>
                <c:pt idx="2">
                  <c:v>100</c:v>
                </c:pt>
                <c:pt idx="3">
                  <c:v>100</c:v>
                </c:pt>
              </c:numCache>
            </c:numRef>
          </c:val>
          <c:smooth val="0"/>
          <c:extLst>
            <c:ext xmlns:c16="http://schemas.microsoft.com/office/drawing/2014/chart" uri="{C3380CC4-5D6E-409C-BE32-E72D297353CC}">
              <c16:uniqueId val="{00000000-9673-4FE3-A7CA-43DC25240FAF}"/>
            </c:ext>
          </c:extLst>
        </c:ser>
        <c:ser>
          <c:idx val="1"/>
          <c:order val="1"/>
          <c:tx>
            <c:strRef>
              <c:f>'26.06.02 보고자료'!$B$24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'26.06.02 보고자료'!$C$22:$F$22</c:f>
              <c:strCache>
                <c:ptCount val="4"/>
                <c:pt idx="0">
                  <c:v>5/18</c:v>
                </c:pt>
                <c:pt idx="1">
                  <c:v>5/25</c:v>
                </c:pt>
                <c:pt idx="2">
                  <c:v>6/1</c:v>
                </c:pt>
                <c:pt idx="3">
                  <c:v>This week assumption </c:v>
                </c:pt>
              </c:strCache>
            </c:strRef>
          </c:cat>
          <c:val>
            <c:numRef>
              <c:f>'26.06.02 보고자료'!$C$24:$F$24</c:f>
              <c:numCache>
                <c:formatCode>General</c:formatCode>
                <c:ptCount val="4"/>
                <c:pt idx="0">
                  <c:v>150</c:v>
                </c:pt>
                <c:pt idx="1">
                  <c:v>20</c:v>
                </c:pt>
                <c:pt idx="2">
                  <c:v>70</c:v>
                </c:pt>
                <c:pt idx="3">
                  <c:v>80</c:v>
                </c:pt>
              </c:numCache>
            </c:numRef>
          </c:val>
          <c:smooth val="0"/>
          <c:extLst>
            <c:ext xmlns:c16="http://schemas.microsoft.com/office/drawing/2014/chart" uri="{C3380CC4-5D6E-409C-BE32-E72D297353CC}">
              <c16:uniqueId val="{00000001-9673-4FE3-A7CA-43DC25240FAF}"/>
            </c:ext>
          </c:extLst>
        </c:ser>
        <c:ser>
          <c:idx val="2"/>
          <c:order val="2"/>
          <c:tx>
            <c:strRef>
              <c:f>'26.06.02 보고자료'!$B$25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'26.06.02 보고자료'!$C$22:$F$22</c:f>
              <c:strCache>
                <c:ptCount val="4"/>
                <c:pt idx="0">
                  <c:v>5/18</c:v>
                </c:pt>
                <c:pt idx="1">
                  <c:v>5/25</c:v>
                </c:pt>
                <c:pt idx="2">
                  <c:v>6/1</c:v>
                </c:pt>
                <c:pt idx="3">
                  <c:v>This week assumption </c:v>
                </c:pt>
              </c:strCache>
            </c:strRef>
          </c:cat>
          <c:val>
            <c:numRef>
              <c:f>'26.06.02 보고자료'!$C$25:$F$25</c:f>
              <c:numCache>
                <c:formatCode>General</c:formatCode>
                <c:ptCount val="4"/>
                <c:pt idx="0">
                  <c:v>150</c:v>
                </c:pt>
                <c:pt idx="1">
                  <c:v>50</c:v>
                </c:pt>
                <c:pt idx="2">
                  <c:v>85</c:v>
                </c:pt>
                <c:pt idx="3">
                  <c:v>80</c:v>
                </c:pt>
              </c:numCache>
            </c:numRef>
          </c:val>
          <c:smooth val="0"/>
          <c:extLst>
            <c:ext xmlns:c16="http://schemas.microsoft.com/office/drawing/2014/chart" uri="{C3380CC4-5D6E-409C-BE32-E72D297353CC}">
              <c16:uniqueId val="{00000002-9673-4FE3-A7CA-43DC25240FAF}"/>
            </c:ext>
          </c:extLst>
        </c:ser>
        <c:ser>
          <c:idx val="3"/>
          <c:order val="3"/>
          <c:tx>
            <c:strRef>
              <c:f>'26.06.02 보고자료'!$B$26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'26.06.02 보고자료'!$C$22:$F$22</c:f>
              <c:strCache>
                <c:ptCount val="4"/>
                <c:pt idx="0">
                  <c:v>5/18</c:v>
                </c:pt>
                <c:pt idx="1">
                  <c:v>5/25</c:v>
                </c:pt>
                <c:pt idx="2">
                  <c:v>6/1</c:v>
                </c:pt>
                <c:pt idx="3">
                  <c:v>This week assumption </c:v>
                </c:pt>
              </c:strCache>
            </c:strRef>
          </c:cat>
          <c:val>
            <c:numRef>
              <c:f>'26.06.02 보고자료'!$C$26:$F$26</c:f>
              <c:numCache>
                <c:formatCode>General</c:formatCode>
                <c:ptCount val="4"/>
                <c:pt idx="0">
                  <c:v>140</c:v>
                </c:pt>
                <c:pt idx="1">
                  <c:v>30</c:v>
                </c:pt>
                <c:pt idx="2">
                  <c:v>80</c:v>
                </c:pt>
                <c:pt idx="3">
                  <c:v>80</c:v>
                </c:pt>
              </c:numCache>
            </c:numRef>
          </c:val>
          <c:smooth val="0"/>
          <c:extLst>
            <c:ext xmlns:c16="http://schemas.microsoft.com/office/drawing/2014/chart" uri="{C3380CC4-5D6E-409C-BE32-E72D297353CC}">
              <c16:uniqueId val="{00000003-9673-4FE3-A7CA-43DC25240FAF}"/>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'26.06.02 보고자료'!$O$23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dLbl>
              <c:idx val="2"/>
              <c:layout>
                <c:manualLayout>
                  <c:x val="-7.0189546317155887E-3"/>
                  <c:y val="-6.77304254404017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AE-4FEF-8962-15BEB4EEDC9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'26.06.02 보고자료'!$P$22:$R$22</c:f>
              <c:numCache>
                <c:formatCode>m"/"d;@</c:formatCode>
                <c:ptCount val="3"/>
                <c:pt idx="0">
                  <c:v>46160</c:v>
                </c:pt>
                <c:pt idx="1">
                  <c:v>46167</c:v>
                </c:pt>
                <c:pt idx="2">
                  <c:v>46174</c:v>
                </c:pt>
              </c:numCache>
            </c:numRef>
          </c:cat>
          <c:val>
            <c:numRef>
              <c:f>'26.06.02 보고자료'!$P$23:$R$23</c:f>
              <c:numCache>
                <c:formatCode>General</c:formatCode>
                <c:ptCount val="3"/>
                <c:pt idx="0">
                  <c:v>950</c:v>
                </c:pt>
                <c:pt idx="1">
                  <c:v>790</c:v>
                </c:pt>
                <c:pt idx="2">
                  <c:v>795</c:v>
                </c:pt>
              </c:numCache>
            </c:numRef>
          </c:val>
          <c:smooth val="0"/>
          <c:extLst>
            <c:ext xmlns:c16="http://schemas.microsoft.com/office/drawing/2014/chart" uri="{C3380CC4-5D6E-409C-BE32-E72D297353CC}">
              <c16:uniqueId val="{00000000-3299-4EB7-8C4D-E9AB338EDEF7}"/>
            </c:ext>
          </c:extLst>
        </c:ser>
        <c:ser>
          <c:idx val="1"/>
          <c:order val="1"/>
          <c:tx>
            <c:strRef>
              <c:f>'26.06.02 보고자료'!$O$24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dLbl>
              <c:idx val="2"/>
              <c:layout>
                <c:manualLayout>
                  <c:x val="-1.2283170605502408E-2"/>
                  <c:y val="3.38652127202005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AE-4FEF-8962-15BEB4EEDC9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'26.06.02 보고자료'!$P$22:$R$22</c:f>
              <c:numCache>
                <c:formatCode>m"/"d;@</c:formatCode>
                <c:ptCount val="3"/>
                <c:pt idx="0">
                  <c:v>46160</c:v>
                </c:pt>
                <c:pt idx="1">
                  <c:v>46167</c:v>
                </c:pt>
                <c:pt idx="2">
                  <c:v>46174</c:v>
                </c:pt>
              </c:numCache>
            </c:numRef>
          </c:cat>
          <c:val>
            <c:numRef>
              <c:f>'26.06.02 보고자료'!$P$24:$R$24</c:f>
              <c:numCache>
                <c:formatCode>General</c:formatCode>
                <c:ptCount val="3"/>
                <c:pt idx="0">
                  <c:v>875</c:v>
                </c:pt>
                <c:pt idx="1">
                  <c:v>770</c:v>
                </c:pt>
                <c:pt idx="2">
                  <c:v>770</c:v>
                </c:pt>
              </c:numCache>
            </c:numRef>
          </c:val>
          <c:smooth val="0"/>
          <c:extLst>
            <c:ext xmlns:c16="http://schemas.microsoft.com/office/drawing/2014/chart" uri="{C3380CC4-5D6E-409C-BE32-E72D297353CC}">
              <c16:uniqueId val="{00000001-3299-4EB7-8C4D-E9AB338EDEF7}"/>
            </c:ext>
          </c:extLst>
        </c:ser>
        <c:ser>
          <c:idx val="2"/>
          <c:order val="2"/>
          <c:tx>
            <c:strRef>
              <c:f>'26.06.02 보고자료'!$O$25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'26.06.02 보고자료'!$P$22:$R$22</c:f>
              <c:numCache>
                <c:formatCode>m"/"d;@</c:formatCode>
                <c:ptCount val="3"/>
                <c:pt idx="0">
                  <c:v>46160</c:v>
                </c:pt>
                <c:pt idx="1">
                  <c:v>46167</c:v>
                </c:pt>
                <c:pt idx="2">
                  <c:v>46174</c:v>
                </c:pt>
              </c:numCache>
            </c:numRef>
          </c:cat>
          <c:val>
            <c:numRef>
              <c:f>'26.06.02 보고자료'!$P$25:$R$25</c:f>
              <c:numCache>
                <c:formatCode>General</c:formatCode>
                <c:ptCount val="3"/>
                <c:pt idx="0">
                  <c:v>1100</c:v>
                </c:pt>
                <c:pt idx="1">
                  <c:v>1010</c:v>
                </c:pt>
                <c:pt idx="2">
                  <c:v>1015</c:v>
                </c:pt>
              </c:numCache>
            </c:numRef>
          </c:val>
          <c:smooth val="0"/>
          <c:extLst>
            <c:ext xmlns:c16="http://schemas.microsoft.com/office/drawing/2014/chart" uri="{C3380CC4-5D6E-409C-BE32-E72D297353CC}">
              <c16:uniqueId val="{00000002-3299-4EB7-8C4D-E9AB338EDEF7}"/>
            </c:ext>
          </c:extLst>
        </c:ser>
        <c:ser>
          <c:idx val="3"/>
          <c:order val="3"/>
          <c:tx>
            <c:strRef>
              <c:f>'26.06.02 보고자료'!$O$26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dLbl>
              <c:idx val="2"/>
              <c:layout>
                <c:manualLayout>
                  <c:x val="-1.4037909263431177E-2"/>
                  <c:y val="3.3865212720200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AE-4FEF-8962-15BEB4EEDC9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'26.06.02 보고자료'!$P$22:$R$22</c:f>
              <c:numCache>
                <c:formatCode>m"/"d;@</c:formatCode>
                <c:ptCount val="3"/>
                <c:pt idx="0">
                  <c:v>46160</c:v>
                </c:pt>
                <c:pt idx="1">
                  <c:v>46167</c:v>
                </c:pt>
                <c:pt idx="2">
                  <c:v>46174</c:v>
                </c:pt>
              </c:numCache>
            </c:numRef>
          </c:cat>
          <c:val>
            <c:numRef>
              <c:f>'26.06.02 보고자료'!$P$26:$R$26</c:f>
              <c:numCache>
                <c:formatCode>General</c:formatCode>
                <c:ptCount val="3"/>
                <c:pt idx="0">
                  <c:v>850</c:v>
                </c:pt>
                <c:pt idx="1">
                  <c:v>780</c:v>
                </c:pt>
                <c:pt idx="2">
                  <c:v>765</c:v>
                </c:pt>
              </c:numCache>
            </c:numRef>
          </c:val>
          <c:smooth val="0"/>
          <c:extLst>
            <c:ext xmlns:c16="http://schemas.microsoft.com/office/drawing/2014/chart" uri="{C3380CC4-5D6E-409C-BE32-E72D297353CC}">
              <c16:uniqueId val="{00000003-3299-4EB7-8C4D-E9AB338EDEF7}"/>
            </c:ext>
          </c:extLst>
        </c:ser>
        <c:ser>
          <c:idx val="4"/>
          <c:order val="4"/>
          <c:tx>
            <c:strRef>
              <c:f>'26.06.02 보고자료'!$O$27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'26.06.02 보고자료'!$P$22:$R$22</c:f>
              <c:numCache>
                <c:formatCode>m"/"d;@</c:formatCode>
                <c:ptCount val="3"/>
                <c:pt idx="0">
                  <c:v>46160</c:v>
                </c:pt>
                <c:pt idx="1">
                  <c:v>46167</c:v>
                </c:pt>
                <c:pt idx="2">
                  <c:v>46174</c:v>
                </c:pt>
              </c:numCache>
            </c:numRef>
          </c:cat>
          <c:val>
            <c:numRef>
              <c:f>'26.06.02 보고자료'!$P$27:$R$27</c:f>
              <c:numCache>
                <c:formatCode>General</c:formatCode>
                <c:ptCount val="3"/>
              </c:numCache>
            </c:numRef>
          </c:val>
          <c:smooth val="0"/>
          <c:extLst>
            <c:ext xmlns:c16="http://schemas.microsoft.com/office/drawing/2014/chart" uri="{C3380CC4-5D6E-409C-BE32-E72D297353CC}">
              <c16:uniqueId val="{00000004-3299-4EB7-8C4D-E9AB338EDEF7}"/>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'26.05.25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'26.05.25 보고자료 (수정중'!$C$22:$F$22</c:f>
              <c:strCache>
                <c:ptCount val="4"/>
                <c:pt idx="0">
                  <c:v>5/11</c:v>
                </c:pt>
                <c:pt idx="1">
                  <c:v>5/18</c:v>
                </c:pt>
                <c:pt idx="2">
                  <c:v>5/25</c:v>
                </c:pt>
                <c:pt idx="3">
                  <c:v>This week assumption </c:v>
                </c:pt>
              </c:strCache>
            </c:strRef>
          </c:cat>
          <c:val>
            <c:numRef>
              <c:f>'26.05.25 보고자료 (수정중'!$C$23:$F$23</c:f>
              <c:numCache>
                <c:formatCode>General</c:formatCode>
                <c:ptCount val="4"/>
                <c:pt idx="0">
                  <c:v>270</c:v>
                </c:pt>
                <c:pt idx="1">
                  <c:v>130</c:v>
                </c:pt>
                <c:pt idx="2">
                  <c:v>50</c:v>
                </c:pt>
                <c:pt idx="3">
                  <c:v>50</c:v>
                </c:pt>
              </c:numCache>
            </c:numRef>
          </c:val>
          <c:smooth val="0"/>
          <c:extLst>
            <c:ext xmlns:c16="http://schemas.microsoft.com/office/drawing/2014/chart" uri="{C3380CC4-5D6E-409C-BE32-E72D297353CC}">
              <c16:uniqueId val="{00000000-D18B-4349-82D9-9ECCF7790A9E}"/>
            </c:ext>
          </c:extLst>
        </c:ser>
        <c:ser>
          <c:idx val="1"/>
          <c:order val="1"/>
          <c:tx>
            <c:strRef>
              <c:f>'26.05.25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'26.05.25 보고자료 (수정중'!$C$22:$F$22</c:f>
              <c:strCache>
                <c:ptCount val="4"/>
                <c:pt idx="0">
                  <c:v>5/11</c:v>
                </c:pt>
                <c:pt idx="1">
                  <c:v>5/18</c:v>
                </c:pt>
                <c:pt idx="2">
                  <c:v>5/25</c:v>
                </c:pt>
                <c:pt idx="3">
                  <c:v>This week assumption </c:v>
                </c:pt>
              </c:strCache>
            </c:strRef>
          </c:cat>
          <c:val>
            <c:numRef>
              <c:f>'26.05.25 보고자료 (수정중'!$C$24:$F$24</c:f>
              <c:numCache>
                <c:formatCode>General</c:formatCode>
                <c:ptCount val="4"/>
                <c:pt idx="0">
                  <c:v>230</c:v>
                </c:pt>
                <c:pt idx="1">
                  <c:v>150</c:v>
                </c:pt>
                <c:pt idx="2">
                  <c:v>20</c:v>
                </c:pt>
                <c:pt idx="3">
                  <c:v>20</c:v>
                </c:pt>
              </c:numCache>
            </c:numRef>
          </c:val>
          <c:smooth val="0"/>
          <c:extLst>
            <c:ext xmlns:c16="http://schemas.microsoft.com/office/drawing/2014/chart" uri="{C3380CC4-5D6E-409C-BE32-E72D297353CC}">
              <c16:uniqueId val="{00000001-D18B-4349-82D9-9ECCF7790A9E}"/>
            </c:ext>
          </c:extLst>
        </c:ser>
        <c:ser>
          <c:idx val="2"/>
          <c:order val="2"/>
          <c:tx>
            <c:strRef>
              <c:f>'26.05.25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'26.05.25 보고자료 (수정중'!$C$22:$F$22</c:f>
              <c:strCache>
                <c:ptCount val="4"/>
                <c:pt idx="0">
                  <c:v>5/11</c:v>
                </c:pt>
                <c:pt idx="1">
                  <c:v>5/18</c:v>
                </c:pt>
                <c:pt idx="2">
                  <c:v>5/25</c:v>
                </c:pt>
                <c:pt idx="3">
                  <c:v>This week assumption </c:v>
                </c:pt>
              </c:strCache>
            </c:strRef>
          </c:cat>
          <c:val>
            <c:numRef>
              <c:f>'26.05.25 보고자료 (수정중'!$C$25:$F$25</c:f>
              <c:numCache>
                <c:formatCode>General</c:formatCode>
                <c:ptCount val="4"/>
                <c:pt idx="1">
                  <c:v>150</c:v>
                </c:pt>
                <c:pt idx="2">
                  <c:v>50</c:v>
                </c:pt>
                <c:pt idx="3">
                  <c:v>50</c:v>
                </c:pt>
              </c:numCache>
            </c:numRef>
          </c:val>
          <c:smooth val="0"/>
          <c:extLst>
            <c:ext xmlns:c16="http://schemas.microsoft.com/office/drawing/2014/chart" uri="{C3380CC4-5D6E-409C-BE32-E72D297353CC}">
              <c16:uniqueId val="{00000002-D18B-4349-82D9-9ECCF7790A9E}"/>
            </c:ext>
          </c:extLst>
        </c:ser>
        <c:ser>
          <c:idx val="3"/>
          <c:order val="3"/>
          <c:tx>
            <c:strRef>
              <c:f>'26.05.25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'26.05.25 보고자료 (수정중'!$C$22:$F$22</c:f>
              <c:strCache>
                <c:ptCount val="4"/>
                <c:pt idx="0">
                  <c:v>5/11</c:v>
                </c:pt>
                <c:pt idx="1">
                  <c:v>5/18</c:v>
                </c:pt>
                <c:pt idx="2">
                  <c:v>5/25</c:v>
                </c:pt>
                <c:pt idx="3">
                  <c:v>This week assumption </c:v>
                </c:pt>
              </c:strCache>
            </c:strRef>
          </c:cat>
          <c:val>
            <c:numRef>
              <c:f>'26.05.25 보고자료 (수정중'!$C$26:$F$26</c:f>
              <c:numCache>
                <c:formatCode>General</c:formatCode>
                <c:ptCount val="4"/>
                <c:pt idx="0">
                  <c:v>200</c:v>
                </c:pt>
                <c:pt idx="1">
                  <c:v>140</c:v>
                </c:pt>
                <c:pt idx="2">
                  <c:v>30</c:v>
                </c:pt>
                <c:pt idx="3">
                  <c:v>30</c:v>
                </c:pt>
              </c:numCache>
            </c:numRef>
          </c:val>
          <c:smooth val="0"/>
          <c:extLst>
            <c:ext xmlns:c16="http://schemas.microsoft.com/office/drawing/2014/chart" uri="{C3380CC4-5D6E-409C-BE32-E72D297353CC}">
              <c16:uniqueId val="{00000003-D18B-4349-82D9-9ECCF7790A9E}"/>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'26.05.25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'26.05.25 보고자료 (수정중'!$P$22:$R$22</c:f>
              <c:numCache>
                <c:formatCode>m"/"d;@</c:formatCode>
                <c:ptCount val="3"/>
                <c:pt idx="0">
                  <c:v>46153</c:v>
                </c:pt>
                <c:pt idx="1">
                  <c:v>46160</c:v>
                </c:pt>
                <c:pt idx="2">
                  <c:v>46167</c:v>
                </c:pt>
              </c:numCache>
            </c:numRef>
          </c:cat>
          <c:val>
            <c:numRef>
              <c:f>'26.05.25 보고자료 (수정중'!$P$23:$R$23</c:f>
              <c:numCache>
                <c:formatCode>General</c:formatCode>
                <c:ptCount val="3"/>
                <c:pt idx="0">
                  <c:v>970</c:v>
                </c:pt>
                <c:pt idx="1">
                  <c:v>950</c:v>
                </c:pt>
                <c:pt idx="2">
                  <c:v>790</c:v>
                </c:pt>
              </c:numCache>
            </c:numRef>
          </c:val>
          <c:smooth val="0"/>
          <c:extLst>
            <c:ext xmlns:c16="http://schemas.microsoft.com/office/drawing/2014/chart" uri="{C3380CC4-5D6E-409C-BE32-E72D297353CC}">
              <c16:uniqueId val="{00000000-25CA-4D1A-A6F2-43D4DB7B1C7D}"/>
            </c:ext>
          </c:extLst>
        </c:ser>
        <c:ser>
          <c:idx val="1"/>
          <c:order val="1"/>
          <c:tx>
            <c:strRef>
              <c:f>'26.05.25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'26.05.25 보고자료 (수정중'!$P$22:$R$22</c:f>
              <c:numCache>
                <c:formatCode>m"/"d;@</c:formatCode>
                <c:ptCount val="3"/>
                <c:pt idx="0">
                  <c:v>46153</c:v>
                </c:pt>
                <c:pt idx="1">
                  <c:v>46160</c:v>
                </c:pt>
                <c:pt idx="2">
                  <c:v>46167</c:v>
                </c:pt>
              </c:numCache>
            </c:numRef>
          </c:cat>
          <c:val>
            <c:numRef>
              <c:f>'26.05.25 보고자료 (수정중'!$P$24:$R$24</c:f>
              <c:numCache>
                <c:formatCode>General</c:formatCode>
                <c:ptCount val="3"/>
                <c:pt idx="0">
                  <c:v>796</c:v>
                </c:pt>
                <c:pt idx="1">
                  <c:v>875</c:v>
                </c:pt>
                <c:pt idx="2">
                  <c:v>770</c:v>
                </c:pt>
              </c:numCache>
            </c:numRef>
          </c:val>
          <c:smooth val="0"/>
          <c:extLst>
            <c:ext xmlns:c16="http://schemas.microsoft.com/office/drawing/2014/chart" uri="{C3380CC4-5D6E-409C-BE32-E72D297353CC}">
              <c16:uniqueId val="{00000001-25CA-4D1A-A6F2-43D4DB7B1C7D}"/>
            </c:ext>
          </c:extLst>
        </c:ser>
        <c:ser>
          <c:idx val="2"/>
          <c:order val="2"/>
          <c:tx>
            <c:strRef>
              <c:f>'26.05.25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'26.05.25 보고자료 (수정중'!$P$22:$R$22</c:f>
              <c:numCache>
                <c:formatCode>m"/"d;@</c:formatCode>
                <c:ptCount val="3"/>
                <c:pt idx="0">
                  <c:v>46153</c:v>
                </c:pt>
                <c:pt idx="1">
                  <c:v>46160</c:v>
                </c:pt>
                <c:pt idx="2">
                  <c:v>46167</c:v>
                </c:pt>
              </c:numCache>
            </c:numRef>
          </c:cat>
          <c:val>
            <c:numRef>
              <c:f>'26.05.25 보고자료 (수정중'!$P$25:$R$25</c:f>
              <c:numCache>
                <c:formatCode>General</c:formatCode>
                <c:ptCount val="3"/>
                <c:pt idx="0">
                  <c:v>1150</c:v>
                </c:pt>
                <c:pt idx="1">
                  <c:v>1100</c:v>
                </c:pt>
                <c:pt idx="2">
                  <c:v>1010</c:v>
                </c:pt>
              </c:numCache>
            </c:numRef>
          </c:val>
          <c:smooth val="0"/>
          <c:extLst>
            <c:ext xmlns:c16="http://schemas.microsoft.com/office/drawing/2014/chart" uri="{C3380CC4-5D6E-409C-BE32-E72D297353CC}">
              <c16:uniqueId val="{00000002-25CA-4D1A-A6F2-43D4DB7B1C7D}"/>
            </c:ext>
          </c:extLst>
        </c:ser>
        <c:ser>
          <c:idx val="3"/>
          <c:order val="3"/>
          <c:tx>
            <c:strRef>
              <c:f>'26.05.25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'26.05.25 보고자료 (수정중'!$P$22:$R$22</c:f>
              <c:numCache>
                <c:formatCode>m"/"d;@</c:formatCode>
                <c:ptCount val="3"/>
                <c:pt idx="0">
                  <c:v>46153</c:v>
                </c:pt>
                <c:pt idx="1">
                  <c:v>46160</c:v>
                </c:pt>
                <c:pt idx="2">
                  <c:v>46167</c:v>
                </c:pt>
              </c:numCache>
            </c:numRef>
          </c:cat>
          <c:val>
            <c:numRef>
              <c:f>'26.05.25 보고자료 (수정중'!$P$26:$R$26</c:f>
              <c:numCache>
                <c:formatCode>General</c:formatCode>
                <c:ptCount val="3"/>
                <c:pt idx="0">
                  <c:v>780</c:v>
                </c:pt>
                <c:pt idx="1">
                  <c:v>850</c:v>
                </c:pt>
                <c:pt idx="2">
                  <c:v>760</c:v>
                </c:pt>
              </c:numCache>
            </c:numRef>
          </c:val>
          <c:smooth val="0"/>
          <c:extLst>
            <c:ext xmlns:c16="http://schemas.microsoft.com/office/drawing/2014/chart" uri="{C3380CC4-5D6E-409C-BE32-E72D297353CC}">
              <c16:uniqueId val="{00000003-25CA-4D1A-A6F2-43D4DB7B1C7D}"/>
            </c:ext>
          </c:extLst>
        </c:ser>
        <c:ser>
          <c:idx val="4"/>
          <c:order val="4"/>
          <c:tx>
            <c:strRef>
              <c:f>'26.05.25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'26.05.25 보고자료 (수정중'!$P$22:$R$22</c:f>
              <c:numCache>
                <c:formatCode>m"/"d;@</c:formatCode>
                <c:ptCount val="3"/>
                <c:pt idx="0">
                  <c:v>46153</c:v>
                </c:pt>
                <c:pt idx="1">
                  <c:v>46160</c:v>
                </c:pt>
                <c:pt idx="2">
                  <c:v>46167</c:v>
                </c:pt>
              </c:numCache>
            </c:numRef>
          </c:cat>
          <c:val>
            <c:numRef>
              <c:f>'26.05.25 보고자료 (수정중'!$P$27:$R$27</c:f>
              <c:numCache>
                <c:formatCode>General</c:formatCode>
                <c:ptCount val="3"/>
              </c:numCache>
            </c:numRef>
          </c:val>
          <c:smooth val="0"/>
          <c:extLst>
            <c:ext xmlns:c16="http://schemas.microsoft.com/office/drawing/2014/chart" uri="{C3380CC4-5D6E-409C-BE32-E72D297353CC}">
              <c16:uniqueId val="{00000004-25CA-4D1A-A6F2-43D4DB7B1C7D}"/>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'26.05.25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'26.05.25 보고자료 (수정중)'!$C$22:$F$22</c:f>
              <c:strCache>
                <c:ptCount val="4"/>
                <c:pt idx="0">
                  <c:v>5/11</c:v>
                </c:pt>
                <c:pt idx="1">
                  <c:v>5/18</c:v>
                </c:pt>
                <c:pt idx="2">
                  <c:v>5/25</c:v>
                </c:pt>
                <c:pt idx="3">
                  <c:v>This week assumption </c:v>
                </c:pt>
              </c:strCache>
            </c:strRef>
          </c:cat>
          <c:val>
            <c:numRef>
              <c:f>'26.05.25 보고자료 (수정중)'!$C$23:$F$23</c:f>
              <c:numCache>
                <c:formatCode>General</c:formatCode>
                <c:ptCount val="4"/>
                <c:pt idx="0">
                  <c:v>270</c:v>
                </c:pt>
                <c:pt idx="1">
                  <c:v>130</c:v>
                </c:pt>
                <c:pt idx="2">
                  <c:v>70</c:v>
                </c:pt>
                <c:pt idx="3">
                  <c:v>30</c:v>
                </c:pt>
              </c:numCache>
            </c:numRef>
          </c:val>
          <c:smooth val="0"/>
          <c:extLst>
            <c:ext xmlns:c16="http://schemas.microsoft.com/office/drawing/2014/chart" uri="{C3380CC4-5D6E-409C-BE32-E72D297353CC}">
              <c16:uniqueId val="{00000000-1690-463D-9E53-D08FCFBFB6D6}"/>
            </c:ext>
          </c:extLst>
        </c:ser>
        <c:ser>
          <c:idx val="1"/>
          <c:order val="1"/>
          <c:tx>
            <c:strRef>
              <c:f>'26.05.25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'26.05.25 보고자료 (수정중)'!$C$22:$F$22</c:f>
              <c:strCache>
                <c:ptCount val="4"/>
                <c:pt idx="0">
                  <c:v>5/11</c:v>
                </c:pt>
                <c:pt idx="1">
                  <c:v>5/18</c:v>
                </c:pt>
                <c:pt idx="2">
                  <c:v>5/25</c:v>
                </c:pt>
                <c:pt idx="3">
                  <c:v>This week assumption </c:v>
                </c:pt>
              </c:strCache>
            </c:strRef>
          </c:cat>
          <c:val>
            <c:numRef>
              <c:f>'26.05.25 보고자료 (수정중)'!$C$24:$F$24</c:f>
              <c:numCache>
                <c:formatCode>General</c:formatCode>
                <c:ptCount val="4"/>
                <c:pt idx="0">
                  <c:v>230</c:v>
                </c:pt>
                <c:pt idx="1">
                  <c:v>150</c:v>
                </c:pt>
                <c:pt idx="2">
                  <c:v>30</c:v>
                </c:pt>
                <c:pt idx="3">
                  <c:v>20</c:v>
                </c:pt>
              </c:numCache>
            </c:numRef>
          </c:val>
          <c:smooth val="0"/>
          <c:extLst>
            <c:ext xmlns:c16="http://schemas.microsoft.com/office/drawing/2014/chart" uri="{C3380CC4-5D6E-409C-BE32-E72D297353CC}">
              <c16:uniqueId val="{00000001-1690-463D-9E53-D08FCFBFB6D6}"/>
            </c:ext>
          </c:extLst>
        </c:ser>
        <c:ser>
          <c:idx val="2"/>
          <c:order val="2"/>
          <c:tx>
            <c:strRef>
              <c:f>'26.05.25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'26.05.25 보고자료 (수정중)'!$C$22:$F$22</c:f>
              <c:strCache>
                <c:ptCount val="4"/>
                <c:pt idx="0">
                  <c:v>5/11</c:v>
                </c:pt>
                <c:pt idx="1">
                  <c:v>5/18</c:v>
                </c:pt>
                <c:pt idx="2">
                  <c:v>5/25</c:v>
                </c:pt>
                <c:pt idx="3">
                  <c:v>This week assumption </c:v>
                </c:pt>
              </c:strCache>
            </c:strRef>
          </c:cat>
          <c:val>
            <c:numRef>
              <c:f>'26.05.25 보고자료 (수정중)'!$C$25:$F$25</c:f>
              <c:numCache>
                <c:formatCode>General</c:formatCode>
                <c:ptCount val="4"/>
                <c:pt idx="1">
                  <c:v>150</c:v>
                </c:pt>
                <c:pt idx="2">
                  <c:v>120</c:v>
                </c:pt>
                <c:pt idx="3">
                  <c:v>70</c:v>
                </c:pt>
              </c:numCache>
            </c:numRef>
          </c:val>
          <c:smooth val="0"/>
          <c:extLst>
            <c:ext xmlns:c16="http://schemas.microsoft.com/office/drawing/2014/chart" uri="{C3380CC4-5D6E-409C-BE32-E72D297353CC}">
              <c16:uniqueId val="{00000002-1690-463D-9E53-D08FCFBFB6D6}"/>
            </c:ext>
          </c:extLst>
        </c:ser>
        <c:ser>
          <c:idx val="3"/>
          <c:order val="3"/>
          <c:tx>
            <c:strRef>
              <c:f>'26.05.25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'26.05.25 보고자료 (수정중)'!$C$22:$F$22</c:f>
              <c:strCache>
                <c:ptCount val="4"/>
                <c:pt idx="0">
                  <c:v>5/11</c:v>
                </c:pt>
                <c:pt idx="1">
                  <c:v>5/18</c:v>
                </c:pt>
                <c:pt idx="2">
                  <c:v>5/25</c:v>
                </c:pt>
                <c:pt idx="3">
                  <c:v>This week assumption </c:v>
                </c:pt>
              </c:strCache>
            </c:strRef>
          </c:cat>
          <c:val>
            <c:numRef>
              <c:f>'26.05.25 보고자료 (수정중)'!$C$26:$F$26</c:f>
              <c:numCache>
                <c:formatCode>General</c:formatCode>
                <c:ptCount val="4"/>
                <c:pt idx="0">
                  <c:v>200</c:v>
                </c:pt>
                <c:pt idx="1">
                  <c:v>140</c:v>
                </c:pt>
                <c:pt idx="2">
                  <c:v>30</c:v>
                </c:pt>
                <c:pt idx="3">
                  <c:v>20</c:v>
                </c:pt>
              </c:numCache>
            </c:numRef>
          </c:val>
          <c:smooth val="0"/>
          <c:extLst>
            <c:ext xmlns:c16="http://schemas.microsoft.com/office/drawing/2014/chart" uri="{C3380CC4-5D6E-409C-BE32-E72D297353CC}">
              <c16:uniqueId val="{00000003-1690-463D-9E53-D08FCFBFB6D6}"/>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'26.05.25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'26.05.25 보고자료 (수정중)'!$P$22:$R$22</c:f>
              <c:numCache>
                <c:formatCode>m"/"d;@</c:formatCode>
                <c:ptCount val="3"/>
                <c:pt idx="0">
                  <c:v>46132</c:v>
                </c:pt>
                <c:pt idx="1">
                  <c:v>46140</c:v>
                </c:pt>
                <c:pt idx="2">
                  <c:v>46147</c:v>
                </c:pt>
              </c:numCache>
            </c:numRef>
          </c:cat>
          <c:val>
            <c:numRef>
              <c:f>'26.05.25 보고자료 (수정중)'!$P$23:$R$23</c:f>
              <c:numCache>
                <c:formatCode>General</c:formatCode>
                <c:ptCount val="3"/>
                <c:pt idx="0">
                  <c:v>780</c:v>
                </c:pt>
                <c:pt idx="1">
                  <c:v>790</c:v>
                </c:pt>
                <c:pt idx="2">
                  <c:v>986</c:v>
                </c:pt>
              </c:numCache>
            </c:numRef>
          </c:val>
          <c:smooth val="0"/>
          <c:extLst>
            <c:ext xmlns:c16="http://schemas.microsoft.com/office/drawing/2014/chart" uri="{C3380CC4-5D6E-409C-BE32-E72D297353CC}">
              <c16:uniqueId val="{00000000-D8F2-48FE-BAD0-C3645488E194}"/>
            </c:ext>
          </c:extLst>
        </c:ser>
        <c:ser>
          <c:idx val="1"/>
          <c:order val="1"/>
          <c:tx>
            <c:strRef>
              <c:f>'26.05.25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'26.05.25 보고자료 (수정중)'!$P$22:$R$22</c:f>
              <c:numCache>
                <c:formatCode>m"/"d;@</c:formatCode>
                <c:ptCount val="3"/>
                <c:pt idx="0">
                  <c:v>46132</c:v>
                </c:pt>
                <c:pt idx="1">
                  <c:v>46140</c:v>
                </c:pt>
                <c:pt idx="2">
                  <c:v>46147</c:v>
                </c:pt>
              </c:numCache>
            </c:numRef>
          </c:cat>
          <c:val>
            <c:numRef>
              <c:f>'26.05.25 보고자료 (수정중)'!$P$24:$R$24</c:f>
              <c:numCache>
                <c:formatCode>General</c:formatCode>
                <c:ptCount val="3"/>
                <c:pt idx="0">
                  <c:v>652</c:v>
                </c:pt>
                <c:pt idx="1">
                  <c:v>745</c:v>
                </c:pt>
                <c:pt idx="2">
                  <c:v>832</c:v>
                </c:pt>
              </c:numCache>
            </c:numRef>
          </c:val>
          <c:smooth val="0"/>
          <c:extLst>
            <c:ext xmlns:c16="http://schemas.microsoft.com/office/drawing/2014/chart" uri="{C3380CC4-5D6E-409C-BE32-E72D297353CC}">
              <c16:uniqueId val="{00000001-D8F2-48FE-BAD0-C3645488E194}"/>
            </c:ext>
          </c:extLst>
        </c:ser>
        <c:ser>
          <c:idx val="2"/>
          <c:order val="2"/>
          <c:tx>
            <c:strRef>
              <c:f>'26.05.25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'26.05.25 보고자료 (수정중)'!$P$22:$R$22</c:f>
              <c:numCache>
                <c:formatCode>m"/"d;@</c:formatCode>
                <c:ptCount val="3"/>
                <c:pt idx="0">
                  <c:v>46132</c:v>
                </c:pt>
                <c:pt idx="1">
                  <c:v>46140</c:v>
                </c:pt>
                <c:pt idx="2">
                  <c:v>46147</c:v>
                </c:pt>
              </c:numCache>
            </c:numRef>
          </c:cat>
          <c:val>
            <c:numRef>
              <c:f>'26.05.25 보고자료 (수정중)'!$P$25:$R$25</c:f>
              <c:numCache>
                <c:formatCode>General</c:formatCode>
                <c:ptCount val="3"/>
                <c:pt idx="0">
                  <c:v>1230</c:v>
                </c:pt>
                <c:pt idx="1">
                  <c:v>1240</c:v>
                </c:pt>
                <c:pt idx="2">
                  <c:v>1220</c:v>
                </c:pt>
              </c:numCache>
            </c:numRef>
          </c:val>
          <c:smooth val="0"/>
          <c:extLst>
            <c:ext xmlns:c16="http://schemas.microsoft.com/office/drawing/2014/chart" uri="{C3380CC4-5D6E-409C-BE32-E72D297353CC}">
              <c16:uniqueId val="{00000002-D8F2-48FE-BAD0-C3645488E194}"/>
            </c:ext>
          </c:extLst>
        </c:ser>
        <c:ser>
          <c:idx val="3"/>
          <c:order val="3"/>
          <c:tx>
            <c:strRef>
              <c:f>'26.05.25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'26.05.25 보고자료 (수정중)'!$P$22:$R$22</c:f>
              <c:numCache>
                <c:formatCode>m"/"d;@</c:formatCode>
                <c:ptCount val="3"/>
                <c:pt idx="0">
                  <c:v>46132</c:v>
                </c:pt>
                <c:pt idx="1">
                  <c:v>46140</c:v>
                </c:pt>
                <c:pt idx="2">
                  <c:v>46147</c:v>
                </c:pt>
              </c:numCache>
            </c:numRef>
          </c:cat>
          <c:val>
            <c:numRef>
              <c:f>'26.05.25 보고자료 (수정중)'!$P$26:$R$26</c:f>
              <c:numCache>
                <c:formatCode>General</c:formatCode>
                <c:ptCount val="3"/>
                <c:pt idx="0">
                  <c:v>703</c:v>
                </c:pt>
                <c:pt idx="1">
                  <c:v>750</c:v>
                </c:pt>
                <c:pt idx="2">
                  <c:v>800</c:v>
                </c:pt>
              </c:numCache>
            </c:numRef>
          </c:val>
          <c:smooth val="0"/>
          <c:extLst>
            <c:ext xmlns:c16="http://schemas.microsoft.com/office/drawing/2014/chart" uri="{C3380CC4-5D6E-409C-BE32-E72D297353CC}">
              <c16:uniqueId val="{00000003-D8F2-48FE-BAD0-C3645488E194}"/>
            </c:ext>
          </c:extLst>
        </c:ser>
        <c:ser>
          <c:idx val="4"/>
          <c:order val="4"/>
          <c:tx>
            <c:strRef>
              <c:f>'26.05.25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'26.05.25 보고자료 (수정중)'!$P$22:$R$22</c:f>
              <c:numCache>
                <c:formatCode>m"/"d;@</c:formatCode>
                <c:ptCount val="3"/>
                <c:pt idx="0">
                  <c:v>46132</c:v>
                </c:pt>
                <c:pt idx="1">
                  <c:v>46140</c:v>
                </c:pt>
                <c:pt idx="2">
                  <c:v>46147</c:v>
                </c:pt>
              </c:numCache>
            </c:numRef>
          </c:cat>
          <c:val>
            <c:numRef>
              <c:f>'26.05.25 보고자료 (수정중)'!$P$27:$R$27</c:f>
              <c:numCache>
                <c:formatCode>General</c:formatCode>
                <c:ptCount val="3"/>
              </c:numCache>
            </c:numRef>
          </c:val>
          <c:smooth val="0"/>
          <c:extLst>
            <c:ext xmlns:c16="http://schemas.microsoft.com/office/drawing/2014/chart" uri="{C3380CC4-5D6E-409C-BE32-E72D297353CC}">
              <c16:uniqueId val="{00000004-D8F2-48FE-BAD0-C3645488E194}"/>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'26.05.18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'26.05.18 보고자료 (수정중)'!$C$22:$F$22</c:f>
              <c:strCache>
                <c:ptCount val="4"/>
                <c:pt idx="0">
                  <c:v>5/4</c:v>
                </c:pt>
                <c:pt idx="1">
                  <c:v>5/11</c:v>
                </c:pt>
                <c:pt idx="2">
                  <c:v>5/18</c:v>
                </c:pt>
                <c:pt idx="3">
                  <c:v>This week assumption </c:v>
                </c:pt>
              </c:strCache>
            </c:strRef>
          </c:cat>
          <c:val>
            <c:numRef>
              <c:f>'26.05.18 보고자료 (수정중)'!$C$23:$F$23</c:f>
              <c:numCache>
                <c:formatCode>General</c:formatCode>
                <c:ptCount val="4"/>
                <c:pt idx="0">
                  <c:v>200</c:v>
                </c:pt>
                <c:pt idx="1">
                  <c:v>270</c:v>
                </c:pt>
                <c:pt idx="2">
                  <c:v>130</c:v>
                </c:pt>
                <c:pt idx="3">
                  <c:v>120</c:v>
                </c:pt>
              </c:numCache>
            </c:numRef>
          </c:val>
          <c:smooth val="0"/>
          <c:extLst>
            <c:ext xmlns:c16="http://schemas.microsoft.com/office/drawing/2014/chart" uri="{C3380CC4-5D6E-409C-BE32-E72D297353CC}">
              <c16:uniqueId val="{00000000-C924-48E9-B8E4-862C16FD83A9}"/>
            </c:ext>
          </c:extLst>
        </c:ser>
        <c:ser>
          <c:idx val="1"/>
          <c:order val="1"/>
          <c:tx>
            <c:strRef>
              <c:f>'26.05.18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'26.05.18 보고자료 (수정중)'!$C$22:$F$22</c:f>
              <c:strCache>
                <c:ptCount val="4"/>
                <c:pt idx="0">
                  <c:v>5/4</c:v>
                </c:pt>
                <c:pt idx="1">
                  <c:v>5/11</c:v>
                </c:pt>
                <c:pt idx="2">
                  <c:v>5/18</c:v>
                </c:pt>
                <c:pt idx="3">
                  <c:v>This week assumption </c:v>
                </c:pt>
              </c:strCache>
            </c:strRef>
          </c:cat>
          <c:val>
            <c:numRef>
              <c:f>'26.05.18 보고자료 (수정중)'!$C$24:$F$24</c:f>
              <c:numCache>
                <c:formatCode>General</c:formatCode>
                <c:ptCount val="4"/>
                <c:pt idx="0">
                  <c:v>220</c:v>
                </c:pt>
                <c:pt idx="1">
                  <c:v>230</c:v>
                </c:pt>
                <c:pt idx="2">
                  <c:v>150</c:v>
                </c:pt>
                <c:pt idx="3">
                  <c:v>120</c:v>
                </c:pt>
              </c:numCache>
            </c:numRef>
          </c:val>
          <c:smooth val="0"/>
          <c:extLst>
            <c:ext xmlns:c16="http://schemas.microsoft.com/office/drawing/2014/chart" uri="{C3380CC4-5D6E-409C-BE32-E72D297353CC}">
              <c16:uniqueId val="{00000001-C924-48E9-B8E4-862C16FD83A9}"/>
            </c:ext>
          </c:extLst>
        </c:ser>
        <c:ser>
          <c:idx val="2"/>
          <c:order val="2"/>
          <c:tx>
            <c:strRef>
              <c:f>'26.05.18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'26.05.18 보고자료 (수정중)'!$C$22:$F$22</c:f>
              <c:strCache>
                <c:ptCount val="4"/>
                <c:pt idx="0">
                  <c:v>5/4</c:v>
                </c:pt>
                <c:pt idx="1">
                  <c:v>5/11</c:v>
                </c:pt>
                <c:pt idx="2">
                  <c:v>5/18</c:v>
                </c:pt>
                <c:pt idx="3">
                  <c:v>This week assumption </c:v>
                </c:pt>
              </c:strCache>
            </c:strRef>
          </c:cat>
          <c:val>
            <c:numRef>
              <c:f>'26.05.18 보고자료 (수정중)'!$C$25:$F$25</c:f>
              <c:numCache>
                <c:formatCode>General</c:formatCode>
                <c:ptCount val="4"/>
                <c:pt idx="2">
                  <c:v>180</c:v>
                </c:pt>
                <c:pt idx="3">
                  <c:v>150</c:v>
                </c:pt>
              </c:numCache>
            </c:numRef>
          </c:val>
          <c:smooth val="0"/>
          <c:extLst>
            <c:ext xmlns:c16="http://schemas.microsoft.com/office/drawing/2014/chart" uri="{C3380CC4-5D6E-409C-BE32-E72D297353CC}">
              <c16:uniqueId val="{00000002-C924-48E9-B8E4-862C16FD83A9}"/>
            </c:ext>
          </c:extLst>
        </c:ser>
        <c:ser>
          <c:idx val="3"/>
          <c:order val="3"/>
          <c:tx>
            <c:strRef>
              <c:f>'26.05.18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'26.05.18 보고자료 (수정중)'!$C$22:$F$22</c:f>
              <c:strCache>
                <c:ptCount val="4"/>
                <c:pt idx="0">
                  <c:v>5/4</c:v>
                </c:pt>
                <c:pt idx="1">
                  <c:v>5/11</c:v>
                </c:pt>
                <c:pt idx="2">
                  <c:v>5/18</c:v>
                </c:pt>
                <c:pt idx="3">
                  <c:v>This week assumption </c:v>
                </c:pt>
              </c:strCache>
            </c:strRef>
          </c:cat>
          <c:val>
            <c:numRef>
              <c:f>'26.05.18 보고자료 (수정중)'!$C$26:$F$26</c:f>
              <c:numCache>
                <c:formatCode>General</c:formatCode>
                <c:ptCount val="4"/>
                <c:pt idx="1">
                  <c:v>200</c:v>
                </c:pt>
                <c:pt idx="2">
                  <c:v>180</c:v>
                </c:pt>
                <c:pt idx="3">
                  <c:v>150</c:v>
                </c:pt>
              </c:numCache>
            </c:numRef>
          </c:val>
          <c:smooth val="0"/>
          <c:extLst>
            <c:ext xmlns:c16="http://schemas.microsoft.com/office/drawing/2014/chart" uri="{C3380CC4-5D6E-409C-BE32-E72D297353CC}">
              <c16:uniqueId val="{00000003-C924-48E9-B8E4-862C16FD83A9}"/>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'26.05.18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'26.05.18 보고자료 (수정중)'!$P$22:$R$22</c:f>
              <c:numCache>
                <c:formatCode>m"/"d;@</c:formatCode>
                <c:ptCount val="3"/>
                <c:pt idx="0">
                  <c:v>46132</c:v>
                </c:pt>
                <c:pt idx="1">
                  <c:v>46140</c:v>
                </c:pt>
                <c:pt idx="2">
                  <c:v>46147</c:v>
                </c:pt>
              </c:numCache>
            </c:numRef>
          </c:cat>
          <c:val>
            <c:numRef>
              <c:f>'26.05.18 보고자료 (수정중)'!$P$23:$R$23</c:f>
              <c:numCache>
                <c:formatCode>General</c:formatCode>
                <c:ptCount val="3"/>
                <c:pt idx="0">
                  <c:v>780</c:v>
                </c:pt>
                <c:pt idx="1">
                  <c:v>790</c:v>
                </c:pt>
                <c:pt idx="2">
                  <c:v>986</c:v>
                </c:pt>
              </c:numCache>
            </c:numRef>
          </c:val>
          <c:smooth val="0"/>
          <c:extLst>
            <c:ext xmlns:c16="http://schemas.microsoft.com/office/drawing/2014/chart" uri="{C3380CC4-5D6E-409C-BE32-E72D297353CC}">
              <c16:uniqueId val="{00000000-850C-4975-8982-65ABD1926CA1}"/>
            </c:ext>
          </c:extLst>
        </c:ser>
        <c:ser>
          <c:idx val="1"/>
          <c:order val="1"/>
          <c:tx>
            <c:strRef>
              <c:f>'26.05.18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'26.05.18 보고자료 (수정중)'!$P$22:$R$22</c:f>
              <c:numCache>
                <c:formatCode>m"/"d;@</c:formatCode>
                <c:ptCount val="3"/>
                <c:pt idx="0">
                  <c:v>46132</c:v>
                </c:pt>
                <c:pt idx="1">
                  <c:v>46140</c:v>
                </c:pt>
                <c:pt idx="2">
                  <c:v>46147</c:v>
                </c:pt>
              </c:numCache>
            </c:numRef>
          </c:cat>
          <c:val>
            <c:numRef>
              <c:f>'26.05.18 보고자료 (수정중)'!$P$24:$R$24</c:f>
              <c:numCache>
                <c:formatCode>General</c:formatCode>
                <c:ptCount val="3"/>
                <c:pt idx="0">
                  <c:v>652</c:v>
                </c:pt>
                <c:pt idx="1">
                  <c:v>745</c:v>
                </c:pt>
                <c:pt idx="2">
                  <c:v>832</c:v>
                </c:pt>
              </c:numCache>
            </c:numRef>
          </c:val>
          <c:smooth val="0"/>
          <c:extLst>
            <c:ext xmlns:c16="http://schemas.microsoft.com/office/drawing/2014/chart" uri="{C3380CC4-5D6E-409C-BE32-E72D297353CC}">
              <c16:uniqueId val="{00000001-850C-4975-8982-65ABD1926CA1}"/>
            </c:ext>
          </c:extLst>
        </c:ser>
        <c:ser>
          <c:idx val="2"/>
          <c:order val="2"/>
          <c:tx>
            <c:strRef>
              <c:f>'26.05.18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'26.05.18 보고자료 (수정중)'!$P$22:$R$22</c:f>
              <c:numCache>
                <c:formatCode>m"/"d;@</c:formatCode>
                <c:ptCount val="3"/>
                <c:pt idx="0">
                  <c:v>46132</c:v>
                </c:pt>
                <c:pt idx="1">
                  <c:v>46140</c:v>
                </c:pt>
                <c:pt idx="2">
                  <c:v>46147</c:v>
                </c:pt>
              </c:numCache>
            </c:numRef>
          </c:cat>
          <c:val>
            <c:numRef>
              <c:f>'26.05.18 보고자료 (수정중)'!$P$25:$R$25</c:f>
              <c:numCache>
                <c:formatCode>General</c:formatCode>
                <c:ptCount val="3"/>
                <c:pt idx="0">
                  <c:v>1230</c:v>
                </c:pt>
                <c:pt idx="1">
                  <c:v>1240</c:v>
                </c:pt>
                <c:pt idx="2">
                  <c:v>1220</c:v>
                </c:pt>
              </c:numCache>
            </c:numRef>
          </c:val>
          <c:smooth val="0"/>
          <c:extLst>
            <c:ext xmlns:c16="http://schemas.microsoft.com/office/drawing/2014/chart" uri="{C3380CC4-5D6E-409C-BE32-E72D297353CC}">
              <c16:uniqueId val="{00000002-850C-4975-8982-65ABD1926CA1}"/>
            </c:ext>
          </c:extLst>
        </c:ser>
        <c:ser>
          <c:idx val="3"/>
          <c:order val="3"/>
          <c:tx>
            <c:strRef>
              <c:f>'26.05.18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'26.05.18 보고자료 (수정중)'!$P$22:$R$22</c:f>
              <c:numCache>
                <c:formatCode>m"/"d;@</c:formatCode>
                <c:ptCount val="3"/>
                <c:pt idx="0">
                  <c:v>46132</c:v>
                </c:pt>
                <c:pt idx="1">
                  <c:v>46140</c:v>
                </c:pt>
                <c:pt idx="2">
                  <c:v>46147</c:v>
                </c:pt>
              </c:numCache>
            </c:numRef>
          </c:cat>
          <c:val>
            <c:numRef>
              <c:f>'26.05.18 보고자료 (수정중)'!$P$26:$R$26</c:f>
              <c:numCache>
                <c:formatCode>General</c:formatCode>
                <c:ptCount val="3"/>
                <c:pt idx="0">
                  <c:v>703</c:v>
                </c:pt>
                <c:pt idx="1">
                  <c:v>750</c:v>
                </c:pt>
                <c:pt idx="2">
                  <c:v>800</c:v>
                </c:pt>
              </c:numCache>
            </c:numRef>
          </c:val>
          <c:smooth val="0"/>
          <c:extLst>
            <c:ext xmlns:c16="http://schemas.microsoft.com/office/drawing/2014/chart" uri="{C3380CC4-5D6E-409C-BE32-E72D297353CC}">
              <c16:uniqueId val="{00000003-850C-4975-8982-65ABD1926CA1}"/>
            </c:ext>
          </c:extLst>
        </c:ser>
        <c:ser>
          <c:idx val="4"/>
          <c:order val="4"/>
          <c:tx>
            <c:strRef>
              <c:f>'26.05.18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'26.05.18 보고자료 (수정중)'!$P$22:$R$22</c:f>
              <c:numCache>
                <c:formatCode>m"/"d;@</c:formatCode>
                <c:ptCount val="3"/>
                <c:pt idx="0">
                  <c:v>46132</c:v>
                </c:pt>
                <c:pt idx="1">
                  <c:v>46140</c:v>
                </c:pt>
                <c:pt idx="2">
                  <c:v>46147</c:v>
                </c:pt>
              </c:numCache>
            </c:numRef>
          </c:cat>
          <c:val>
            <c:numRef>
              <c:f>'26.05.18 보고자료 (수정중)'!$P$27:$R$27</c:f>
              <c:numCache>
                <c:formatCode>General</c:formatCode>
                <c:ptCount val="3"/>
              </c:numCache>
            </c:numRef>
          </c:val>
          <c:smooth val="0"/>
          <c:extLst>
            <c:ext xmlns:c16="http://schemas.microsoft.com/office/drawing/2014/chart" uri="{C3380CC4-5D6E-409C-BE32-E72D297353CC}">
              <c16:uniqueId val="{00000004-850C-4975-8982-65ABD1926CA1}"/>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'26.05.05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'26.05.05 보고자료 (수정중)'!$C$22:$F$22</c:f>
              <c:strCache>
                <c:ptCount val="4"/>
                <c:pt idx="0">
                  <c:v>4/20</c:v>
                </c:pt>
                <c:pt idx="1">
                  <c:v>2026-04-28
(May Delivery)</c:v>
                </c:pt>
                <c:pt idx="2">
                  <c:v>5/4</c:v>
                </c:pt>
                <c:pt idx="3">
                  <c:v>This week assumption </c:v>
                </c:pt>
              </c:strCache>
            </c:strRef>
          </c:cat>
          <c:val>
            <c:numRef>
              <c:f>'26.05.05 보고자료 (수정중)'!$C$23:$F$23</c:f>
              <c:numCache>
                <c:formatCode>General</c:formatCode>
                <c:ptCount val="4"/>
                <c:pt idx="0">
                  <c:v>30</c:v>
                </c:pt>
                <c:pt idx="1">
                  <c:v>120</c:v>
                </c:pt>
                <c:pt idx="2">
                  <c:v>200</c:v>
                </c:pt>
                <c:pt idx="3">
                  <c:v>200</c:v>
                </c:pt>
              </c:numCache>
            </c:numRef>
          </c:val>
          <c:smooth val="0"/>
          <c:extLst>
            <c:ext xmlns:c16="http://schemas.microsoft.com/office/drawing/2014/chart" uri="{C3380CC4-5D6E-409C-BE32-E72D297353CC}">
              <c16:uniqueId val="{00000000-1504-4055-A1A3-15ACB11067A9}"/>
            </c:ext>
          </c:extLst>
        </c:ser>
        <c:ser>
          <c:idx val="1"/>
          <c:order val="1"/>
          <c:tx>
            <c:strRef>
              <c:f>'26.05.05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'26.05.05 보고자료 (수정중)'!$C$22:$F$22</c:f>
              <c:strCache>
                <c:ptCount val="4"/>
                <c:pt idx="0">
                  <c:v>4/20</c:v>
                </c:pt>
                <c:pt idx="1">
                  <c:v>2026-04-28
(May Delivery)</c:v>
                </c:pt>
                <c:pt idx="2">
                  <c:v>5/4</c:v>
                </c:pt>
                <c:pt idx="3">
                  <c:v>This week assumption </c:v>
                </c:pt>
              </c:strCache>
            </c:strRef>
          </c:cat>
          <c:val>
            <c:numRef>
              <c:f>'26.05.05 보고자료 (수정중)'!$C$24:$F$24</c:f>
              <c:numCache>
                <c:formatCode>General</c:formatCode>
                <c:ptCount val="4"/>
                <c:pt idx="0">
                  <c:v>30</c:v>
                </c:pt>
                <c:pt idx="1">
                  <c:v>80</c:v>
                </c:pt>
                <c:pt idx="2">
                  <c:v>220</c:v>
                </c:pt>
                <c:pt idx="3">
                  <c:v>200</c:v>
                </c:pt>
              </c:numCache>
            </c:numRef>
          </c:val>
          <c:smooth val="0"/>
          <c:extLst>
            <c:ext xmlns:c16="http://schemas.microsoft.com/office/drawing/2014/chart" uri="{C3380CC4-5D6E-409C-BE32-E72D297353CC}">
              <c16:uniqueId val="{00000001-1504-4055-A1A3-15ACB11067A9}"/>
            </c:ext>
          </c:extLst>
        </c:ser>
        <c:ser>
          <c:idx val="2"/>
          <c:order val="2"/>
          <c:tx>
            <c:strRef>
              <c:f>'26.05.05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'26.05.05 보고자료 (수정중)'!$C$22:$F$22</c:f>
              <c:strCache>
                <c:ptCount val="4"/>
                <c:pt idx="0">
                  <c:v>4/20</c:v>
                </c:pt>
                <c:pt idx="1">
                  <c:v>2026-04-28
(May Delivery)</c:v>
                </c:pt>
                <c:pt idx="2">
                  <c:v>5/4</c:v>
                </c:pt>
                <c:pt idx="3">
                  <c:v>This week assumption </c:v>
                </c:pt>
              </c:strCache>
            </c:strRef>
          </c:cat>
          <c:val>
            <c:numRef>
              <c:f>'26.05.05 보고자료 (수정중)'!$C$25:$F$25</c:f>
              <c:numCache>
                <c:formatCode>General</c:formatCode>
                <c:ptCount val="4"/>
                <c:pt idx="0">
                  <c:v>30</c:v>
                </c:pt>
                <c:pt idx="1">
                  <c:v>100</c:v>
                </c:pt>
                <c:pt idx="3">
                  <c:v>200</c:v>
                </c:pt>
              </c:numCache>
            </c:numRef>
          </c:val>
          <c:smooth val="0"/>
          <c:extLst>
            <c:ext xmlns:c16="http://schemas.microsoft.com/office/drawing/2014/chart" uri="{C3380CC4-5D6E-409C-BE32-E72D297353CC}">
              <c16:uniqueId val="{00000002-1504-4055-A1A3-15ACB11067A9}"/>
            </c:ext>
          </c:extLst>
        </c:ser>
        <c:ser>
          <c:idx val="3"/>
          <c:order val="3"/>
          <c:tx>
            <c:strRef>
              <c:f>'26.05.05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'26.05.05 보고자료 (수정중)'!$C$22:$F$22</c:f>
              <c:strCache>
                <c:ptCount val="4"/>
                <c:pt idx="0">
                  <c:v>4/20</c:v>
                </c:pt>
                <c:pt idx="1">
                  <c:v>2026-04-28
(May Delivery)</c:v>
                </c:pt>
                <c:pt idx="2">
                  <c:v>5/4</c:v>
                </c:pt>
                <c:pt idx="3">
                  <c:v>This week assumption </c:v>
                </c:pt>
              </c:strCache>
            </c:strRef>
          </c:cat>
          <c:val>
            <c:numRef>
              <c:f>'26.05.05 보고자료 (수정중)'!$C$26:$F$26</c:f>
              <c:numCache>
                <c:formatCode>General</c:formatCode>
                <c:ptCount val="4"/>
                <c:pt idx="1">
                  <c:v>90</c:v>
                </c:pt>
              </c:numCache>
            </c:numRef>
          </c:val>
          <c:smooth val="0"/>
          <c:extLst>
            <c:ext xmlns:c16="http://schemas.microsoft.com/office/drawing/2014/chart" uri="{C3380CC4-5D6E-409C-BE32-E72D297353CC}">
              <c16:uniqueId val="{00000003-1504-4055-A1A3-15ACB11067A9}"/>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'26.05.05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'26.05.05 보고자료 (수정중)'!$P$22:$R$22</c:f>
              <c:numCache>
                <c:formatCode>m"/"d;@</c:formatCode>
                <c:ptCount val="3"/>
                <c:pt idx="0">
                  <c:v>46132</c:v>
                </c:pt>
                <c:pt idx="1">
                  <c:v>46140</c:v>
                </c:pt>
                <c:pt idx="2">
                  <c:v>46147</c:v>
                </c:pt>
              </c:numCache>
            </c:numRef>
          </c:cat>
          <c:val>
            <c:numRef>
              <c:f>'26.05.05 보고자료 (수정중)'!$P$23:$R$23</c:f>
              <c:numCache>
                <c:formatCode>General</c:formatCode>
                <c:ptCount val="3"/>
                <c:pt idx="0">
                  <c:v>780</c:v>
                </c:pt>
                <c:pt idx="1">
                  <c:v>790</c:v>
                </c:pt>
                <c:pt idx="2">
                  <c:v>986</c:v>
                </c:pt>
              </c:numCache>
            </c:numRef>
          </c:val>
          <c:smooth val="0"/>
          <c:extLst>
            <c:ext xmlns:c16="http://schemas.microsoft.com/office/drawing/2014/chart" uri="{C3380CC4-5D6E-409C-BE32-E72D297353CC}">
              <c16:uniqueId val="{00000000-E499-4C4E-AF7E-E8DF46C66BA7}"/>
            </c:ext>
          </c:extLst>
        </c:ser>
        <c:ser>
          <c:idx val="1"/>
          <c:order val="1"/>
          <c:tx>
            <c:strRef>
              <c:f>'26.05.05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'26.05.05 보고자료 (수정중)'!$P$22:$R$22</c:f>
              <c:numCache>
                <c:formatCode>m"/"d;@</c:formatCode>
                <c:ptCount val="3"/>
                <c:pt idx="0">
                  <c:v>46132</c:v>
                </c:pt>
                <c:pt idx="1">
                  <c:v>46140</c:v>
                </c:pt>
                <c:pt idx="2">
                  <c:v>46147</c:v>
                </c:pt>
              </c:numCache>
            </c:numRef>
          </c:cat>
          <c:val>
            <c:numRef>
              <c:f>'26.05.05 보고자료 (수정중)'!$P$24:$R$24</c:f>
              <c:numCache>
                <c:formatCode>General</c:formatCode>
                <c:ptCount val="3"/>
                <c:pt idx="0">
                  <c:v>652</c:v>
                </c:pt>
                <c:pt idx="1">
                  <c:v>745</c:v>
                </c:pt>
                <c:pt idx="2">
                  <c:v>832</c:v>
                </c:pt>
              </c:numCache>
            </c:numRef>
          </c:val>
          <c:smooth val="0"/>
          <c:extLst>
            <c:ext xmlns:c16="http://schemas.microsoft.com/office/drawing/2014/chart" uri="{C3380CC4-5D6E-409C-BE32-E72D297353CC}">
              <c16:uniqueId val="{00000001-E499-4C4E-AF7E-E8DF46C66BA7}"/>
            </c:ext>
          </c:extLst>
        </c:ser>
        <c:ser>
          <c:idx val="2"/>
          <c:order val="2"/>
          <c:tx>
            <c:strRef>
              <c:f>'26.05.05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'26.05.05 보고자료 (수정중)'!$P$22:$R$22</c:f>
              <c:numCache>
                <c:formatCode>m"/"d;@</c:formatCode>
                <c:ptCount val="3"/>
                <c:pt idx="0">
                  <c:v>46132</c:v>
                </c:pt>
                <c:pt idx="1">
                  <c:v>46140</c:v>
                </c:pt>
                <c:pt idx="2">
                  <c:v>46147</c:v>
                </c:pt>
              </c:numCache>
            </c:numRef>
          </c:cat>
          <c:val>
            <c:numRef>
              <c:f>'26.05.05 보고자료 (수정중)'!$P$25:$R$25</c:f>
              <c:numCache>
                <c:formatCode>General</c:formatCode>
                <c:ptCount val="3"/>
                <c:pt idx="0">
                  <c:v>1230</c:v>
                </c:pt>
                <c:pt idx="1">
                  <c:v>1240</c:v>
                </c:pt>
                <c:pt idx="2">
                  <c:v>1220</c:v>
                </c:pt>
              </c:numCache>
            </c:numRef>
          </c:val>
          <c:smooth val="0"/>
          <c:extLst>
            <c:ext xmlns:c16="http://schemas.microsoft.com/office/drawing/2014/chart" uri="{C3380CC4-5D6E-409C-BE32-E72D297353CC}">
              <c16:uniqueId val="{00000002-E499-4C4E-AF7E-E8DF46C66BA7}"/>
            </c:ext>
          </c:extLst>
        </c:ser>
        <c:ser>
          <c:idx val="3"/>
          <c:order val="3"/>
          <c:tx>
            <c:strRef>
              <c:f>'26.05.05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'26.05.05 보고자료 (수정중)'!$P$22:$R$22</c:f>
              <c:numCache>
                <c:formatCode>m"/"d;@</c:formatCode>
                <c:ptCount val="3"/>
                <c:pt idx="0">
                  <c:v>46132</c:v>
                </c:pt>
                <c:pt idx="1">
                  <c:v>46140</c:v>
                </c:pt>
                <c:pt idx="2">
                  <c:v>46147</c:v>
                </c:pt>
              </c:numCache>
            </c:numRef>
          </c:cat>
          <c:val>
            <c:numRef>
              <c:f>'26.05.05 보고자료 (수정중)'!$P$26:$R$26</c:f>
              <c:numCache>
                <c:formatCode>General</c:formatCode>
                <c:ptCount val="3"/>
                <c:pt idx="0">
                  <c:v>703</c:v>
                </c:pt>
                <c:pt idx="1">
                  <c:v>750</c:v>
                </c:pt>
                <c:pt idx="2">
                  <c:v>800</c:v>
                </c:pt>
              </c:numCache>
            </c:numRef>
          </c:val>
          <c:smooth val="0"/>
          <c:extLst>
            <c:ext xmlns:c16="http://schemas.microsoft.com/office/drawing/2014/chart" uri="{C3380CC4-5D6E-409C-BE32-E72D297353CC}">
              <c16:uniqueId val="{00000003-E499-4C4E-AF7E-E8DF46C66BA7}"/>
            </c:ext>
          </c:extLst>
        </c:ser>
        <c:ser>
          <c:idx val="4"/>
          <c:order val="4"/>
          <c:tx>
            <c:strRef>
              <c:f>'26.05.05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'26.05.05 보고자료 (수정중)'!$P$22:$R$22</c:f>
              <c:numCache>
                <c:formatCode>m"/"d;@</c:formatCode>
                <c:ptCount val="3"/>
                <c:pt idx="0">
                  <c:v>46132</c:v>
                </c:pt>
                <c:pt idx="1">
                  <c:v>46140</c:v>
                </c:pt>
                <c:pt idx="2">
                  <c:v>46147</c:v>
                </c:pt>
              </c:numCache>
            </c:numRef>
          </c:cat>
          <c:val>
            <c:numRef>
              <c:f>'26.05.05 보고자료 (수정중)'!$P$27:$R$27</c:f>
              <c:numCache>
                <c:formatCode>General</c:formatCode>
                <c:ptCount val="3"/>
              </c:numCache>
            </c:numRef>
          </c:val>
          <c:smooth val="0"/>
          <c:extLst>
            <c:ext xmlns:c16="http://schemas.microsoft.com/office/drawing/2014/chart" uri="{C3380CC4-5D6E-409C-BE32-E72D297353CC}">
              <c16:uniqueId val="{00000004-E499-4C4E-AF7E-E8DF46C66BA7}"/>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'26.04.28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'26.04.28 보고자료 (수정중)'!$C$22:$F$22</c:f>
              <c:strCache>
                <c:ptCount val="4"/>
                <c:pt idx="0">
                  <c:v>4/13</c:v>
                </c:pt>
                <c:pt idx="1">
                  <c:v>4/20</c:v>
                </c:pt>
                <c:pt idx="2">
                  <c:v>2026-04-28
(May Delivery)</c:v>
                </c:pt>
                <c:pt idx="3">
                  <c:v>This week assumption </c:v>
                </c:pt>
              </c:strCache>
            </c:strRef>
          </c:cat>
          <c:val>
            <c:numRef>
              <c:f>'26.04.28 보고자료 (수정중)'!$C$23:$F$23</c:f>
              <c:numCache>
                <c:formatCode>General</c:formatCode>
                <c:ptCount val="4"/>
                <c:pt idx="0">
                  <c:v>70</c:v>
                </c:pt>
                <c:pt idx="1">
                  <c:v>30</c:v>
                </c:pt>
                <c:pt idx="2">
                  <c:v>120</c:v>
                </c:pt>
                <c:pt idx="3">
                  <c:v>120</c:v>
                </c:pt>
              </c:numCache>
            </c:numRef>
          </c:val>
          <c:smooth val="0"/>
          <c:extLst>
            <c:ext xmlns:c16="http://schemas.microsoft.com/office/drawing/2014/chart" uri="{C3380CC4-5D6E-409C-BE32-E72D297353CC}">
              <c16:uniqueId val="{00000000-09DF-49C8-9874-41B81C313919}"/>
            </c:ext>
          </c:extLst>
        </c:ser>
        <c:ser>
          <c:idx val="1"/>
          <c:order val="1"/>
          <c:tx>
            <c:strRef>
              <c:f>'26.04.28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'26.04.28 보고자료 (수정중)'!$C$22:$F$22</c:f>
              <c:strCache>
                <c:ptCount val="4"/>
                <c:pt idx="0">
                  <c:v>4/13</c:v>
                </c:pt>
                <c:pt idx="1">
                  <c:v>4/20</c:v>
                </c:pt>
                <c:pt idx="2">
                  <c:v>2026-04-28
(May Delivery)</c:v>
                </c:pt>
                <c:pt idx="3">
                  <c:v>This week assumption </c:v>
                </c:pt>
              </c:strCache>
            </c:strRef>
          </c:cat>
          <c:val>
            <c:numRef>
              <c:f>'26.04.28 보고자료 (수정중)'!$C$24:$F$24</c:f>
              <c:numCache>
                <c:formatCode>General</c:formatCode>
                <c:ptCount val="4"/>
                <c:pt idx="0">
                  <c:v>70</c:v>
                </c:pt>
                <c:pt idx="1">
                  <c:v>30</c:v>
                </c:pt>
                <c:pt idx="2">
                  <c:v>80</c:v>
                </c:pt>
                <c:pt idx="3">
                  <c:v>100</c:v>
                </c:pt>
              </c:numCache>
            </c:numRef>
          </c:val>
          <c:smooth val="0"/>
          <c:extLst>
            <c:ext xmlns:c16="http://schemas.microsoft.com/office/drawing/2014/chart" uri="{C3380CC4-5D6E-409C-BE32-E72D297353CC}">
              <c16:uniqueId val="{00000001-09DF-49C8-9874-41B81C313919}"/>
            </c:ext>
          </c:extLst>
        </c:ser>
        <c:ser>
          <c:idx val="2"/>
          <c:order val="2"/>
          <c:tx>
            <c:strRef>
              <c:f>'26.04.28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'26.04.28 보고자료 (수정중)'!$C$22:$F$22</c:f>
              <c:strCache>
                <c:ptCount val="4"/>
                <c:pt idx="0">
                  <c:v>4/13</c:v>
                </c:pt>
                <c:pt idx="1">
                  <c:v>4/20</c:v>
                </c:pt>
                <c:pt idx="2">
                  <c:v>2026-04-28
(May Delivery)</c:v>
                </c:pt>
                <c:pt idx="3">
                  <c:v>This week assumption </c:v>
                </c:pt>
              </c:strCache>
            </c:strRef>
          </c:cat>
          <c:val>
            <c:numRef>
              <c:f>'26.04.28 보고자료 (수정중)'!$C$25:$F$25</c:f>
              <c:numCache>
                <c:formatCode>General</c:formatCode>
                <c:ptCount val="4"/>
                <c:pt idx="0">
                  <c:v>75</c:v>
                </c:pt>
                <c:pt idx="1">
                  <c:v>30</c:v>
                </c:pt>
                <c:pt idx="2">
                  <c:v>100</c:v>
                </c:pt>
                <c:pt idx="3">
                  <c:v>100</c:v>
                </c:pt>
              </c:numCache>
            </c:numRef>
          </c:val>
          <c:smooth val="0"/>
          <c:extLst>
            <c:ext xmlns:c16="http://schemas.microsoft.com/office/drawing/2014/chart" uri="{C3380CC4-5D6E-409C-BE32-E72D297353CC}">
              <c16:uniqueId val="{00000002-09DF-49C8-9874-41B81C313919}"/>
            </c:ext>
          </c:extLst>
        </c:ser>
        <c:ser>
          <c:idx val="3"/>
          <c:order val="3"/>
          <c:tx>
            <c:strRef>
              <c:f>'26.04.28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'26.04.28 보고자료 (수정중)'!$C$22:$F$22</c:f>
              <c:strCache>
                <c:ptCount val="4"/>
                <c:pt idx="0">
                  <c:v>4/13</c:v>
                </c:pt>
                <c:pt idx="1">
                  <c:v>4/20</c:v>
                </c:pt>
                <c:pt idx="2">
                  <c:v>2026-04-28
(May Delivery)</c:v>
                </c:pt>
                <c:pt idx="3">
                  <c:v>This week assumption </c:v>
                </c:pt>
              </c:strCache>
            </c:strRef>
          </c:cat>
          <c:val>
            <c:numRef>
              <c:f>'26.04.28 보고자료 (수정중)'!$C$26:$F$26</c:f>
              <c:numCache>
                <c:formatCode>General</c:formatCode>
                <c:ptCount val="4"/>
                <c:pt idx="2">
                  <c:v>90</c:v>
                </c:pt>
                <c:pt idx="3">
                  <c:v>95</c:v>
                </c:pt>
              </c:numCache>
            </c:numRef>
          </c:val>
          <c:smooth val="0"/>
          <c:extLst>
            <c:ext xmlns:c16="http://schemas.microsoft.com/office/drawing/2014/chart" uri="{C3380CC4-5D6E-409C-BE32-E72D297353CC}">
              <c16:uniqueId val="{00000003-09DF-49C8-9874-41B81C313919}"/>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'26.04.28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'26.04.28 보고자료 (수정중)'!$P$22:$R$22</c:f>
              <c:numCache>
                <c:formatCode>m"/"d;@</c:formatCode>
                <c:ptCount val="3"/>
                <c:pt idx="0">
                  <c:v>46126</c:v>
                </c:pt>
                <c:pt idx="1">
                  <c:v>46132</c:v>
                </c:pt>
                <c:pt idx="2">
                  <c:v>46140</c:v>
                </c:pt>
              </c:numCache>
            </c:numRef>
          </c:cat>
          <c:val>
            <c:numRef>
              <c:f>'26.04.28 보고자료 (수정중)'!$P$23:$R$23</c:f>
              <c:numCache>
                <c:formatCode>General</c:formatCode>
                <c:ptCount val="3"/>
                <c:pt idx="0">
                  <c:v>870</c:v>
                </c:pt>
                <c:pt idx="1">
                  <c:v>780</c:v>
                </c:pt>
                <c:pt idx="2">
                  <c:v>790</c:v>
                </c:pt>
              </c:numCache>
            </c:numRef>
          </c:val>
          <c:smooth val="0"/>
          <c:extLst>
            <c:ext xmlns:c16="http://schemas.microsoft.com/office/drawing/2014/chart" uri="{C3380CC4-5D6E-409C-BE32-E72D297353CC}">
              <c16:uniqueId val="{00000000-AB17-4A20-9588-A48B92FCAB88}"/>
            </c:ext>
          </c:extLst>
        </c:ser>
        <c:ser>
          <c:idx val="1"/>
          <c:order val="1"/>
          <c:tx>
            <c:strRef>
              <c:f>'26.04.28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'26.04.28 보고자료 (수정중)'!$P$22:$R$22</c:f>
              <c:numCache>
                <c:formatCode>m"/"d;@</c:formatCode>
                <c:ptCount val="3"/>
                <c:pt idx="0">
                  <c:v>46126</c:v>
                </c:pt>
                <c:pt idx="1">
                  <c:v>46132</c:v>
                </c:pt>
                <c:pt idx="2">
                  <c:v>46140</c:v>
                </c:pt>
              </c:numCache>
            </c:numRef>
          </c:cat>
          <c:val>
            <c:numRef>
              <c:f>'26.04.28 보고자료 (수정중)'!$P$24:$R$24</c:f>
              <c:numCache>
                <c:formatCode>General</c:formatCode>
                <c:ptCount val="3"/>
                <c:pt idx="0">
                  <c:v>768</c:v>
                </c:pt>
                <c:pt idx="1">
                  <c:v>652</c:v>
                </c:pt>
                <c:pt idx="2">
                  <c:v>745</c:v>
                </c:pt>
              </c:numCache>
            </c:numRef>
          </c:val>
          <c:smooth val="0"/>
          <c:extLst>
            <c:ext xmlns:c16="http://schemas.microsoft.com/office/drawing/2014/chart" uri="{C3380CC4-5D6E-409C-BE32-E72D297353CC}">
              <c16:uniqueId val="{00000001-AB17-4A20-9588-A48B92FCAB88}"/>
            </c:ext>
          </c:extLst>
        </c:ser>
        <c:ser>
          <c:idx val="2"/>
          <c:order val="2"/>
          <c:tx>
            <c:strRef>
              <c:f>'26.04.28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'26.04.28 보고자료 (수정중)'!$P$22:$R$22</c:f>
              <c:numCache>
                <c:formatCode>m"/"d;@</c:formatCode>
                <c:ptCount val="3"/>
                <c:pt idx="0">
                  <c:v>46126</c:v>
                </c:pt>
                <c:pt idx="1">
                  <c:v>46132</c:v>
                </c:pt>
                <c:pt idx="2">
                  <c:v>46140</c:v>
                </c:pt>
              </c:numCache>
            </c:numRef>
          </c:cat>
          <c:val>
            <c:numRef>
              <c:f>'26.04.28 보고자료 (수정중)'!$P$25:$R$25</c:f>
              <c:numCache>
                <c:formatCode>General</c:formatCode>
                <c:ptCount val="3"/>
                <c:pt idx="0">
                  <c:v>1250</c:v>
                </c:pt>
                <c:pt idx="1">
                  <c:v>1230</c:v>
                </c:pt>
                <c:pt idx="2">
                  <c:v>1240</c:v>
                </c:pt>
              </c:numCache>
            </c:numRef>
          </c:val>
          <c:smooth val="0"/>
          <c:extLst>
            <c:ext xmlns:c16="http://schemas.microsoft.com/office/drawing/2014/chart" uri="{C3380CC4-5D6E-409C-BE32-E72D297353CC}">
              <c16:uniqueId val="{00000002-AB17-4A20-9588-A48B92FCAB88}"/>
            </c:ext>
          </c:extLst>
        </c:ser>
        <c:ser>
          <c:idx val="3"/>
          <c:order val="3"/>
          <c:tx>
            <c:strRef>
              <c:f>'26.04.28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'26.04.28 보고자료 (수정중)'!$P$22:$R$22</c:f>
              <c:numCache>
                <c:formatCode>m"/"d;@</c:formatCode>
                <c:ptCount val="3"/>
                <c:pt idx="0">
                  <c:v>46126</c:v>
                </c:pt>
                <c:pt idx="1">
                  <c:v>46132</c:v>
                </c:pt>
                <c:pt idx="2">
                  <c:v>46140</c:v>
                </c:pt>
              </c:numCache>
            </c:numRef>
          </c:cat>
          <c:val>
            <c:numRef>
              <c:f>'26.04.28 보고자료 (수정중)'!$P$26:$R$26</c:f>
              <c:numCache>
                <c:formatCode>General</c:formatCode>
                <c:ptCount val="3"/>
                <c:pt idx="0">
                  <c:v>803</c:v>
                </c:pt>
                <c:pt idx="1">
                  <c:v>703</c:v>
                </c:pt>
                <c:pt idx="2">
                  <c:v>750</c:v>
                </c:pt>
              </c:numCache>
            </c:numRef>
          </c:val>
          <c:smooth val="0"/>
          <c:extLst>
            <c:ext xmlns:c16="http://schemas.microsoft.com/office/drawing/2014/chart" uri="{C3380CC4-5D6E-409C-BE32-E72D297353CC}">
              <c16:uniqueId val="{00000003-AB17-4A20-9588-A48B92FCAB88}"/>
            </c:ext>
          </c:extLst>
        </c:ser>
        <c:ser>
          <c:idx val="4"/>
          <c:order val="4"/>
          <c:tx>
            <c:strRef>
              <c:f>'26.04.28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'26.04.28 보고자료 (수정중)'!$P$22:$R$22</c:f>
              <c:numCache>
                <c:formatCode>m"/"d;@</c:formatCode>
                <c:ptCount val="3"/>
                <c:pt idx="0">
                  <c:v>46126</c:v>
                </c:pt>
                <c:pt idx="1">
                  <c:v>46132</c:v>
                </c:pt>
                <c:pt idx="2">
                  <c:v>46140</c:v>
                </c:pt>
              </c:numCache>
            </c:numRef>
          </c:cat>
          <c:val>
            <c:numRef>
              <c:f>'26.04.28 보고자료 (수정중)'!$P$27:$R$27</c:f>
              <c:numCache>
                <c:formatCode>General</c:formatCode>
                <c:ptCount val="3"/>
              </c:numCache>
            </c:numRef>
          </c:val>
          <c:smooth val="0"/>
          <c:extLst>
            <c:ext xmlns:c16="http://schemas.microsoft.com/office/drawing/2014/chart" uri="{C3380CC4-5D6E-409C-BE32-E72D297353CC}">
              <c16:uniqueId val="{00000004-AB17-4A20-9588-A48B92FCAB88}"/>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57409663844042E-2"/>
          <c:y val="7.3825087611814125E-2"/>
          <c:w val="0.93053868916580484"/>
          <c:h val="0.60375739289602093"/>
        </c:manualLayout>
      </c:layout>
      <c:lineChart>
        <c:grouping val="standard"/>
        <c:varyColors val="0"/>
        <c:ser>
          <c:idx val="0"/>
          <c:order val="0"/>
          <c:tx>
            <c:v>Avg.KR</c:v>
          </c:tx>
          <c:spPr>
            <a:ln w="28575" cap="rnd">
              <a:solidFill>
                <a:srgbClr val="C00000"/>
              </a:solidFill>
              <a:round/>
            </a:ln>
            <a:effectLst/>
          </c:spPr>
          <c:marker>
            <c:symbol val="none"/>
          </c:marker>
          <c:dLbls>
            <c:dLbl>
              <c:idx val="23"/>
              <c:layout>
                <c:manualLayout>
                  <c:x val="-9.0989137902996332E-3"/>
                  <c:y val="1.9908465845560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EA8-4991-93CB-5DCFBEE34384}"/>
                </c:ext>
              </c:extLst>
            </c:dLbl>
            <c:dLbl>
              <c:idx val="24"/>
              <c:layout>
                <c:manualLayout>
                  <c:x val="-1.1120766164548466E-16"/>
                  <c:y val="-1.9908465845560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EA8-4991-93CB-5DCFBEE343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pt idx="20">
                <c:v>2026년 4월 14 Apr</c:v>
              </c:pt>
              <c:pt idx="21">
                <c:v>2026년 4월 15 Apr</c:v>
              </c:pt>
              <c:pt idx="22">
                <c:v>2026년 4월 16 Apr</c:v>
              </c:pt>
              <c:pt idx="23">
                <c:v>2026년 4월 17 Apr</c:v>
              </c:pt>
              <c:pt idx="24">
                <c:v>2026년 4월 20 Apr</c:v>
              </c:pt>
            </c:strLit>
          </c:cat>
          <c:val>
            <c:numLit>
              <c:formatCode>General</c:formatCode>
              <c:ptCount val="25"/>
              <c:pt idx="0">
                <c:v>395.1</c:v>
              </c:pt>
              <c:pt idx="1">
                <c:v>366.22</c:v>
              </c:pt>
              <c:pt idx="2">
                <c:v>353.66999999999996</c:v>
              </c:pt>
              <c:pt idx="3">
                <c:v>236.51999999999998</c:v>
              </c:pt>
              <c:pt idx="4">
                <c:v>220.90999999999997</c:v>
              </c:pt>
              <c:pt idx="5">
                <c:v>198.44000000000005</c:v>
              </c:pt>
              <c:pt idx="6">
                <c:v>196.72000000000003</c:v>
              </c:pt>
              <c:pt idx="7">
                <c:v>156.19000000000005</c:v>
              </c:pt>
              <c:pt idx="8">
                <c:v>173.86</c:v>
              </c:pt>
              <c:pt idx="9">
                <c:v>133.76999999999998</c:v>
              </c:pt>
              <c:pt idx="10">
                <c:v>174.5</c:v>
              </c:pt>
              <c:pt idx="11">
                <c:v>128.86000000000001</c:v>
              </c:pt>
              <c:pt idx="12">
                <c:v>158.12</c:v>
              </c:pt>
              <c:pt idx="13">
                <c:v>153.75</c:v>
              </c:pt>
              <c:pt idx="14">
                <c:v>139.27999999999997</c:v>
              </c:pt>
              <c:pt idx="15">
                <c:v>126.48000000000002</c:v>
              </c:pt>
              <c:pt idx="16">
                <c:v>142.29999999999995</c:v>
              </c:pt>
              <c:pt idx="17">
                <c:v>135.44000000000005</c:v>
              </c:pt>
              <c:pt idx="18">
                <c:v>135.60000000000002</c:v>
              </c:pt>
              <c:pt idx="19">
                <c:v>137.01999999999998</c:v>
              </c:pt>
              <c:pt idx="20">
                <c:v>113.05999999999995</c:v>
              </c:pt>
              <c:pt idx="21">
                <c:v>116.69000000000005</c:v>
              </c:pt>
              <c:pt idx="22">
                <c:v>116.57000000000005</c:v>
              </c:pt>
              <c:pt idx="23">
                <c:v>111.64999999999998</c:v>
              </c:pt>
              <c:pt idx="24">
                <c:v>109.53999999999996</c:v>
              </c:pt>
            </c:numLit>
          </c:val>
          <c:smooth val="0"/>
          <c:extLst>
            <c:ext xmlns:c16="http://schemas.microsoft.com/office/drawing/2014/chart" uri="{C3380CC4-5D6E-409C-BE32-E72D297353CC}">
              <c16:uniqueId val="{00000000-CEA8-4991-93CB-5DCFBEE34384}"/>
            </c:ext>
          </c:extLst>
        </c:ser>
        <c:ser>
          <c:idx val="1"/>
          <c:order val="1"/>
          <c:tx>
            <c:v>Avg.SP</c:v>
          </c:tx>
          <c:spPr>
            <a:ln w="9525" cap="rnd">
              <a:solidFill>
                <a:schemeClr val="accent6">
                  <a:lumMod val="75000"/>
                </a:schemeClr>
              </a:solidFill>
              <a:round/>
            </a:ln>
            <a:effectLst/>
          </c:spPr>
          <c:marker>
            <c:symbol val="none"/>
          </c:marker>
          <c:cat>
            <c:strLit>
              <c:ptCount val="2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pt idx="20">
                <c:v>2026년 4월 14 Apr</c:v>
              </c:pt>
              <c:pt idx="21">
                <c:v>2026년 4월 15 Apr</c:v>
              </c:pt>
              <c:pt idx="22">
                <c:v>2026년 4월 16 Apr</c:v>
              </c:pt>
              <c:pt idx="23">
                <c:v>2026년 4월 17 Apr</c:v>
              </c:pt>
              <c:pt idx="24">
                <c:v>2026년 4월 20 Apr</c:v>
              </c:pt>
            </c:strLit>
          </c:cat>
          <c:val>
            <c:numLit>
              <c:formatCode>General</c:formatCode>
              <c:ptCount val="25"/>
              <c:pt idx="0">
                <c:v>165.10000000000002</c:v>
              </c:pt>
              <c:pt idx="1">
                <c:v>76.220000000000027</c:v>
              </c:pt>
              <c:pt idx="2">
                <c:v>53.669999999999959</c:v>
              </c:pt>
              <c:pt idx="3">
                <c:v>46.519999999999982</c:v>
              </c:pt>
              <c:pt idx="4">
                <c:v>27.909999999999968</c:v>
              </c:pt>
              <c:pt idx="5">
                <c:v>23.440000000000055</c:v>
              </c:pt>
              <c:pt idx="6">
                <c:v>12.720000000000027</c:v>
              </c:pt>
              <c:pt idx="7">
                <c:v>11.190000000000055</c:v>
              </c:pt>
              <c:pt idx="8">
                <c:v>5.8600000000000136</c:v>
              </c:pt>
              <c:pt idx="9">
                <c:v>8.7699999999999818</c:v>
              </c:pt>
              <c:pt idx="10">
                <c:v>15.5</c:v>
              </c:pt>
              <c:pt idx="11">
                <c:v>20.860000000000014</c:v>
              </c:pt>
              <c:pt idx="12">
                <c:v>37.620000000000005</c:v>
              </c:pt>
              <c:pt idx="13">
                <c:v>39.75</c:v>
              </c:pt>
              <c:pt idx="14">
                <c:v>37.279999999999973</c:v>
              </c:pt>
              <c:pt idx="15">
                <c:v>33.480000000000018</c:v>
              </c:pt>
              <c:pt idx="16">
                <c:v>36.299999999999955</c:v>
              </c:pt>
              <c:pt idx="17">
                <c:v>26.440000000000055</c:v>
              </c:pt>
              <c:pt idx="18">
                <c:v>27.600000000000023</c:v>
              </c:pt>
              <c:pt idx="19">
                <c:v>32.019999999999982</c:v>
              </c:pt>
              <c:pt idx="20">
                <c:v>29.059999999999945</c:v>
              </c:pt>
              <c:pt idx="21">
                <c:v>31.690000000000055</c:v>
              </c:pt>
              <c:pt idx="22">
                <c:v>32.57000000000005</c:v>
              </c:pt>
              <c:pt idx="23">
                <c:v>25.649999999999977</c:v>
              </c:pt>
              <c:pt idx="24">
                <c:v>22.539999999999964</c:v>
              </c:pt>
            </c:numLit>
          </c:val>
          <c:smooth val="0"/>
          <c:extLst>
            <c:ext xmlns:c16="http://schemas.microsoft.com/office/drawing/2014/chart" uri="{C3380CC4-5D6E-409C-BE32-E72D297353CC}">
              <c16:uniqueId val="{00000001-CEA8-4991-93CB-5DCFBEE34384}"/>
            </c:ext>
          </c:extLst>
        </c:ser>
        <c:ser>
          <c:idx val="2"/>
          <c:order val="2"/>
          <c:tx>
            <c:v>Avg.ZS</c:v>
          </c:tx>
          <c:spPr>
            <a:ln w="9525" cap="rnd">
              <a:solidFill>
                <a:schemeClr val="accent1">
                  <a:lumMod val="75000"/>
                </a:schemeClr>
              </a:solidFill>
              <a:round/>
            </a:ln>
            <a:effectLst/>
          </c:spPr>
          <c:marker>
            <c:symbol val="none"/>
          </c:marker>
          <c:cat>
            <c:strLit>
              <c:ptCount val="2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pt idx="20">
                <c:v>2026년 4월 14 Apr</c:v>
              </c:pt>
              <c:pt idx="21">
                <c:v>2026년 4월 15 Apr</c:v>
              </c:pt>
              <c:pt idx="22">
                <c:v>2026년 4월 16 Apr</c:v>
              </c:pt>
              <c:pt idx="23">
                <c:v>2026년 4월 17 Apr</c:v>
              </c:pt>
              <c:pt idx="24">
                <c:v>2026년 4월 20 Apr</c:v>
              </c:pt>
            </c:strLit>
          </c:cat>
          <c:val>
            <c:numLit>
              <c:formatCode>General</c:formatCode>
              <c:ptCount val="25"/>
              <c:pt idx="0">
                <c:v>125.10000000000002</c:v>
              </c:pt>
              <c:pt idx="1">
                <c:v>106.22000000000003</c:v>
              </c:pt>
              <c:pt idx="2">
                <c:v>78.669999999999959</c:v>
              </c:pt>
              <c:pt idx="3">
                <c:v>56.519999999999982</c:v>
              </c:pt>
              <c:pt idx="4">
                <c:v>70.909999999999968</c:v>
              </c:pt>
              <c:pt idx="5">
                <c:v>38.440000000000055</c:v>
              </c:pt>
              <c:pt idx="6">
                <c:v>26.720000000000027</c:v>
              </c:pt>
              <c:pt idx="7">
                <c:v>26.190000000000055</c:v>
              </c:pt>
              <c:pt idx="8">
                <c:v>38.860000000000014</c:v>
              </c:pt>
              <c:pt idx="9">
                <c:v>13.769999999999982</c:v>
              </c:pt>
              <c:pt idx="10">
                <c:v>9.5</c:v>
              </c:pt>
              <c:pt idx="11">
                <c:v>8.8600000000000136</c:v>
              </c:pt>
              <c:pt idx="12">
                <c:v>17.620000000000005</c:v>
              </c:pt>
              <c:pt idx="13">
                <c:v>13.75</c:v>
              </c:pt>
              <c:pt idx="14">
                <c:v>24.279999999999973</c:v>
              </c:pt>
              <c:pt idx="15">
                <c:v>46.480000000000018</c:v>
              </c:pt>
              <c:pt idx="16">
                <c:v>57.299999999999955</c:v>
              </c:pt>
              <c:pt idx="17">
                <c:v>47.440000000000055</c:v>
              </c:pt>
              <c:pt idx="18">
                <c:v>43.600000000000023</c:v>
              </c:pt>
              <c:pt idx="19">
                <c:v>43.019999999999982</c:v>
              </c:pt>
              <c:pt idx="20">
                <c:v>33.059999999999945</c:v>
              </c:pt>
              <c:pt idx="21">
                <c:v>36.690000000000055</c:v>
              </c:pt>
              <c:pt idx="22">
                <c:v>39.57000000000005</c:v>
              </c:pt>
              <c:pt idx="23">
                <c:v>35.649999999999977</c:v>
              </c:pt>
              <c:pt idx="24">
                <c:v>39.539999999999964</c:v>
              </c:pt>
            </c:numLit>
          </c:val>
          <c:smooth val="0"/>
          <c:extLst>
            <c:ext xmlns:c16="http://schemas.microsoft.com/office/drawing/2014/chart" uri="{C3380CC4-5D6E-409C-BE32-E72D297353CC}">
              <c16:uniqueId val="{00000002-CEA8-4991-93CB-5DCFBEE34384}"/>
            </c:ext>
          </c:extLst>
        </c:ser>
        <c:ser>
          <c:idx val="3"/>
          <c:order val="3"/>
          <c:tx>
            <c:v>Avg.KR '25 25%</c:v>
          </c:tx>
          <c:spPr>
            <a:ln w="12700" cap="rnd">
              <a:solidFill>
                <a:srgbClr val="C00000"/>
              </a:solidFill>
              <a:prstDash val="dash"/>
              <a:round/>
            </a:ln>
            <a:effectLst/>
          </c:spPr>
          <c:marker>
            <c:symbol val="none"/>
          </c:marker>
          <c:cat>
            <c:strLit>
              <c:ptCount val="2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pt idx="20">
                <c:v>2026년 4월 14 Apr</c:v>
              </c:pt>
              <c:pt idx="21">
                <c:v>2026년 4월 15 Apr</c:v>
              </c:pt>
              <c:pt idx="22">
                <c:v>2026년 4월 16 Apr</c:v>
              </c:pt>
              <c:pt idx="23">
                <c:v>2026년 4월 17 Apr</c:v>
              </c:pt>
              <c:pt idx="24">
                <c:v>2026년 4월 20 Apr</c:v>
              </c:pt>
            </c:strLit>
          </c:cat>
          <c:val>
            <c:numLit>
              <c:formatCode>General</c:formatCode>
              <c:ptCount val="25"/>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pt idx="15">
                <c:v>23.747500000000002</c:v>
              </c:pt>
              <c:pt idx="16">
                <c:v>23.747500000000002</c:v>
              </c:pt>
              <c:pt idx="17">
                <c:v>23.747500000000002</c:v>
              </c:pt>
              <c:pt idx="18">
                <c:v>23.747500000000002</c:v>
              </c:pt>
              <c:pt idx="19">
                <c:v>23.747500000000002</c:v>
              </c:pt>
              <c:pt idx="20">
                <c:v>23.747500000000002</c:v>
              </c:pt>
              <c:pt idx="21">
                <c:v>23.747500000000002</c:v>
              </c:pt>
              <c:pt idx="22">
                <c:v>23.747500000000002</c:v>
              </c:pt>
              <c:pt idx="23">
                <c:v>23.747500000000002</c:v>
              </c:pt>
              <c:pt idx="24">
                <c:v>23.747500000000002</c:v>
              </c:pt>
            </c:numLit>
          </c:val>
          <c:smooth val="0"/>
          <c:extLst>
            <c:ext xmlns:c16="http://schemas.microsoft.com/office/drawing/2014/chart" uri="{C3380CC4-5D6E-409C-BE32-E72D297353CC}">
              <c16:uniqueId val="{00000003-CEA8-4991-93CB-5DCFBEE34384}"/>
            </c:ext>
          </c:extLst>
        </c:ser>
        <c:ser>
          <c:idx val="4"/>
          <c:order val="4"/>
          <c:tx>
            <c:v>Avg.KR '25 75%</c:v>
          </c:tx>
          <c:spPr>
            <a:ln w="12700" cap="rnd">
              <a:solidFill>
                <a:srgbClr val="C00000"/>
              </a:solidFill>
              <a:prstDash val="dash"/>
              <a:round/>
            </a:ln>
            <a:effectLst/>
          </c:spPr>
          <c:marker>
            <c:symbol val="none"/>
          </c:marker>
          <c:cat>
            <c:strLit>
              <c:ptCount val="2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pt idx="20">
                <c:v>2026년 4월 14 Apr</c:v>
              </c:pt>
              <c:pt idx="21">
                <c:v>2026년 4월 15 Apr</c:v>
              </c:pt>
              <c:pt idx="22">
                <c:v>2026년 4월 16 Apr</c:v>
              </c:pt>
              <c:pt idx="23">
                <c:v>2026년 4월 17 Apr</c:v>
              </c:pt>
              <c:pt idx="24">
                <c:v>2026년 4월 20 Apr</c:v>
              </c:pt>
            </c:strLit>
          </c:cat>
          <c:val>
            <c:numLit>
              <c:formatCode>General</c:formatCode>
              <c:ptCount val="25"/>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pt idx="15">
                <c:v>51.122500000000002</c:v>
              </c:pt>
              <c:pt idx="16">
                <c:v>51.122500000000002</c:v>
              </c:pt>
              <c:pt idx="17">
                <c:v>51.122500000000002</c:v>
              </c:pt>
              <c:pt idx="18">
                <c:v>51.122500000000002</c:v>
              </c:pt>
              <c:pt idx="19">
                <c:v>51.122500000000002</c:v>
              </c:pt>
              <c:pt idx="20">
                <c:v>51.122500000000002</c:v>
              </c:pt>
              <c:pt idx="21">
                <c:v>51.122500000000002</c:v>
              </c:pt>
              <c:pt idx="22">
                <c:v>51.122500000000002</c:v>
              </c:pt>
              <c:pt idx="23">
                <c:v>51.122500000000002</c:v>
              </c:pt>
              <c:pt idx="24">
                <c:v>51.122500000000002</c:v>
              </c:pt>
            </c:numLit>
          </c:val>
          <c:smooth val="0"/>
          <c:extLst>
            <c:ext xmlns:c16="http://schemas.microsoft.com/office/drawing/2014/chart" uri="{C3380CC4-5D6E-409C-BE32-E72D297353CC}">
              <c16:uniqueId val="{00000004-CEA8-4991-93CB-5DCFBEE34384}"/>
            </c:ext>
          </c:extLst>
        </c:ser>
        <c:ser>
          <c:idx val="5"/>
          <c:order val="5"/>
          <c:tx>
            <c:v>Avg.SP '25 25%</c:v>
          </c:tx>
          <c:spPr>
            <a:ln w="9525" cap="rnd">
              <a:solidFill>
                <a:schemeClr val="accent6">
                  <a:lumMod val="75000"/>
                </a:schemeClr>
              </a:solidFill>
              <a:prstDash val="sysDash"/>
              <a:round/>
            </a:ln>
            <a:effectLst/>
          </c:spPr>
          <c:marker>
            <c:symbol val="none"/>
          </c:marker>
          <c:cat>
            <c:strLit>
              <c:ptCount val="2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pt idx="20">
                <c:v>2026년 4월 14 Apr</c:v>
              </c:pt>
              <c:pt idx="21">
                <c:v>2026년 4월 15 Apr</c:v>
              </c:pt>
              <c:pt idx="22">
                <c:v>2026년 4월 16 Apr</c:v>
              </c:pt>
              <c:pt idx="23">
                <c:v>2026년 4월 17 Apr</c:v>
              </c:pt>
              <c:pt idx="24">
                <c:v>2026년 4월 20 Apr</c:v>
              </c:pt>
            </c:strLit>
          </c:cat>
          <c:val>
            <c:numLit>
              <c:formatCode>General</c:formatCode>
              <c:ptCount val="25"/>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pt idx="15">
                <c:v>10.920000000000016</c:v>
              </c:pt>
              <c:pt idx="16">
                <c:v>10.920000000000016</c:v>
              </c:pt>
              <c:pt idx="17">
                <c:v>10.920000000000016</c:v>
              </c:pt>
              <c:pt idx="18">
                <c:v>10.920000000000016</c:v>
              </c:pt>
              <c:pt idx="19">
                <c:v>10.920000000000016</c:v>
              </c:pt>
              <c:pt idx="20">
                <c:v>10.920000000000016</c:v>
              </c:pt>
              <c:pt idx="21">
                <c:v>10.920000000000016</c:v>
              </c:pt>
              <c:pt idx="22">
                <c:v>10.920000000000016</c:v>
              </c:pt>
              <c:pt idx="23">
                <c:v>10.920000000000016</c:v>
              </c:pt>
              <c:pt idx="24">
                <c:v>10.920000000000016</c:v>
              </c:pt>
            </c:numLit>
          </c:val>
          <c:smooth val="0"/>
          <c:extLst>
            <c:ext xmlns:c16="http://schemas.microsoft.com/office/drawing/2014/chart" uri="{C3380CC4-5D6E-409C-BE32-E72D297353CC}">
              <c16:uniqueId val="{00000005-CEA8-4991-93CB-5DCFBEE34384}"/>
            </c:ext>
          </c:extLst>
        </c:ser>
        <c:ser>
          <c:idx val="6"/>
          <c:order val="6"/>
          <c:tx>
            <c:v>Avg.SP '25 75%</c:v>
          </c:tx>
          <c:spPr>
            <a:ln w="9525" cap="rnd">
              <a:solidFill>
                <a:schemeClr val="accent6">
                  <a:lumMod val="75000"/>
                </a:schemeClr>
              </a:solidFill>
              <a:prstDash val="sysDash"/>
              <a:round/>
            </a:ln>
            <a:effectLst/>
          </c:spPr>
          <c:marker>
            <c:symbol val="none"/>
          </c:marker>
          <c:cat>
            <c:strLit>
              <c:ptCount val="2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pt idx="20">
                <c:v>2026년 4월 14 Apr</c:v>
              </c:pt>
              <c:pt idx="21">
                <c:v>2026년 4월 15 Apr</c:v>
              </c:pt>
              <c:pt idx="22">
                <c:v>2026년 4월 16 Apr</c:v>
              </c:pt>
              <c:pt idx="23">
                <c:v>2026년 4월 17 Apr</c:v>
              </c:pt>
              <c:pt idx="24">
                <c:v>2026년 4월 20 Apr</c:v>
              </c:pt>
            </c:strLit>
          </c:cat>
          <c:val>
            <c:numLit>
              <c:formatCode>General</c:formatCode>
              <c:ptCount val="25"/>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pt idx="15">
                <c:v>13.480000000000018</c:v>
              </c:pt>
              <c:pt idx="16">
                <c:v>13.480000000000018</c:v>
              </c:pt>
              <c:pt idx="17">
                <c:v>13.480000000000018</c:v>
              </c:pt>
              <c:pt idx="18">
                <c:v>13.480000000000018</c:v>
              </c:pt>
              <c:pt idx="19">
                <c:v>13.480000000000018</c:v>
              </c:pt>
              <c:pt idx="20">
                <c:v>13.480000000000018</c:v>
              </c:pt>
              <c:pt idx="21">
                <c:v>13.480000000000018</c:v>
              </c:pt>
              <c:pt idx="22">
                <c:v>13.480000000000018</c:v>
              </c:pt>
              <c:pt idx="23">
                <c:v>13.480000000000018</c:v>
              </c:pt>
              <c:pt idx="24">
                <c:v>13.480000000000018</c:v>
              </c:pt>
            </c:numLit>
          </c:val>
          <c:smooth val="0"/>
          <c:extLst>
            <c:ext xmlns:c16="http://schemas.microsoft.com/office/drawing/2014/chart" uri="{C3380CC4-5D6E-409C-BE32-E72D297353CC}">
              <c16:uniqueId val="{00000006-CEA8-4991-93CB-5DCFBEE34384}"/>
            </c:ext>
          </c:extLst>
        </c:ser>
        <c:ser>
          <c:idx val="7"/>
          <c:order val="7"/>
          <c:tx>
            <c:v>Avg. JP Spread</c:v>
          </c:tx>
          <c:spPr>
            <a:ln w="12700" cap="rnd">
              <a:solidFill>
                <a:schemeClr val="tx1">
                  <a:lumMod val="75000"/>
                  <a:lumOff val="25000"/>
                </a:schemeClr>
              </a:solidFill>
              <a:round/>
            </a:ln>
            <a:effectLst/>
          </c:spPr>
          <c:marker>
            <c:symbol val="none"/>
          </c:marker>
          <c:cat>
            <c:strLit>
              <c:ptCount val="2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pt idx="20">
                <c:v>2026년 4월 14 Apr</c:v>
              </c:pt>
              <c:pt idx="21">
                <c:v>2026년 4월 15 Apr</c:v>
              </c:pt>
              <c:pt idx="22">
                <c:v>2026년 4월 16 Apr</c:v>
              </c:pt>
              <c:pt idx="23">
                <c:v>2026년 4월 17 Apr</c:v>
              </c:pt>
              <c:pt idx="24">
                <c:v>2026년 4월 20 Apr</c:v>
              </c:pt>
            </c:strLit>
          </c:cat>
          <c:val>
            <c:numLit>
              <c:formatCode>General</c:formatCode>
              <c:ptCount val="25"/>
              <c:pt idx="0">
                <c:v>102.10000000000002</c:v>
              </c:pt>
              <c:pt idx="1">
                <c:v>102.22000000000003</c:v>
              </c:pt>
              <c:pt idx="2">
                <c:v>80.669999999999959</c:v>
              </c:pt>
              <c:pt idx="3">
                <c:v>76.519999999999982</c:v>
              </c:pt>
              <c:pt idx="4">
                <c:v>76.909999999999968</c:v>
              </c:pt>
              <c:pt idx="5">
                <c:v>78.440000000000055</c:v>
              </c:pt>
              <c:pt idx="6">
                <c:v>71.720000000000027</c:v>
              </c:pt>
              <c:pt idx="7">
                <c:v>86.190000000000055</c:v>
              </c:pt>
              <c:pt idx="8">
                <c:v>93.860000000000014</c:v>
              </c:pt>
              <c:pt idx="9">
                <c:v>63.769999999999982</c:v>
              </c:pt>
              <c:pt idx="10">
                <c:v>64.5</c:v>
              </c:pt>
              <c:pt idx="11">
                <c:v>73.860000000000014</c:v>
              </c:pt>
              <c:pt idx="12">
                <c:v>84.62</c:v>
              </c:pt>
              <c:pt idx="13">
                <c:v>93.75</c:v>
              </c:pt>
              <c:pt idx="14">
                <c:v>107.27999999999997</c:v>
              </c:pt>
              <c:pt idx="15">
                <c:v>116.48000000000002</c:v>
              </c:pt>
              <c:pt idx="16">
                <c:v>167.29999999999995</c:v>
              </c:pt>
              <c:pt idx="17">
                <c:v>164.44000000000005</c:v>
              </c:pt>
              <c:pt idx="18">
                <c:v>180.60000000000002</c:v>
              </c:pt>
              <c:pt idx="19">
                <c:v>193.01999999999998</c:v>
              </c:pt>
              <c:pt idx="20">
                <c:v>193.05999999999995</c:v>
              </c:pt>
              <c:pt idx="21">
                <c:v>188.69000000000005</c:v>
              </c:pt>
              <c:pt idx="22">
                <c:v>187.57000000000005</c:v>
              </c:pt>
              <c:pt idx="23">
                <c:v>188.64999999999998</c:v>
              </c:pt>
              <c:pt idx="24">
                <c:v>186.53999999999996</c:v>
              </c:pt>
            </c:numLit>
          </c:val>
          <c:smooth val="0"/>
          <c:extLst>
            <c:ext xmlns:c16="http://schemas.microsoft.com/office/drawing/2014/chart" uri="{C3380CC4-5D6E-409C-BE32-E72D297353CC}">
              <c16:uniqueId val="{00000007-CEA8-4991-93CB-5DCFBEE34384}"/>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409]d&quot;-&quot;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ayout>
        <c:manualLayout>
          <c:xMode val="edge"/>
          <c:yMode val="edge"/>
          <c:x val="3.6956122072734528E-2"/>
          <c:y val="0.86558258730924931"/>
          <c:w val="0.91304378092567584"/>
          <c:h val="7.3819922174609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'26.04.21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'26.04.21 보고자료 (수정중)'!$C$22:$F$22</c:f>
              <c:strCache>
                <c:ptCount val="4"/>
                <c:pt idx="0">
                  <c:v>4/6</c:v>
                </c:pt>
                <c:pt idx="1">
                  <c:v>4/13</c:v>
                </c:pt>
                <c:pt idx="2">
                  <c:v>4/20</c:v>
                </c:pt>
                <c:pt idx="3">
                  <c:v>This week assumption </c:v>
                </c:pt>
              </c:strCache>
            </c:strRef>
          </c:cat>
          <c:val>
            <c:numRef>
              <c:f>'26.04.21 보고자료 (수정중)'!$C$23:$F$23</c:f>
              <c:numCache>
                <c:formatCode>General</c:formatCode>
                <c:ptCount val="4"/>
                <c:pt idx="0">
                  <c:v>130</c:v>
                </c:pt>
                <c:pt idx="1">
                  <c:v>70</c:v>
                </c:pt>
                <c:pt idx="2">
                  <c:v>30</c:v>
                </c:pt>
                <c:pt idx="3">
                  <c:v>30</c:v>
                </c:pt>
              </c:numCache>
            </c:numRef>
          </c:val>
          <c:smooth val="0"/>
          <c:extLst>
            <c:ext xmlns:c16="http://schemas.microsoft.com/office/drawing/2014/chart" uri="{C3380CC4-5D6E-409C-BE32-E72D297353CC}">
              <c16:uniqueId val="{00000000-5481-4488-A4F0-E4623183A2C9}"/>
            </c:ext>
          </c:extLst>
        </c:ser>
        <c:ser>
          <c:idx val="1"/>
          <c:order val="1"/>
          <c:tx>
            <c:strRef>
              <c:f>'26.04.21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'26.04.21 보고자료 (수정중)'!$C$22:$F$22</c:f>
              <c:strCache>
                <c:ptCount val="4"/>
                <c:pt idx="0">
                  <c:v>4/6</c:v>
                </c:pt>
                <c:pt idx="1">
                  <c:v>4/13</c:v>
                </c:pt>
                <c:pt idx="2">
                  <c:v>4/20</c:v>
                </c:pt>
                <c:pt idx="3">
                  <c:v>This week assumption </c:v>
                </c:pt>
              </c:strCache>
            </c:strRef>
          </c:cat>
          <c:val>
            <c:numRef>
              <c:f>'26.04.21 보고자료 (수정중)'!$C$24:$F$24</c:f>
              <c:numCache>
                <c:formatCode>General</c:formatCode>
                <c:ptCount val="4"/>
                <c:pt idx="0">
                  <c:v>180</c:v>
                </c:pt>
                <c:pt idx="1">
                  <c:v>70</c:v>
                </c:pt>
                <c:pt idx="2">
                  <c:v>30</c:v>
                </c:pt>
                <c:pt idx="3">
                  <c:v>30</c:v>
                </c:pt>
              </c:numCache>
            </c:numRef>
          </c:val>
          <c:smooth val="0"/>
          <c:extLst>
            <c:ext xmlns:c16="http://schemas.microsoft.com/office/drawing/2014/chart" uri="{C3380CC4-5D6E-409C-BE32-E72D297353CC}">
              <c16:uniqueId val="{00000001-5481-4488-A4F0-E4623183A2C9}"/>
            </c:ext>
          </c:extLst>
        </c:ser>
        <c:ser>
          <c:idx val="2"/>
          <c:order val="2"/>
          <c:tx>
            <c:strRef>
              <c:f>'26.04.21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'26.04.21 보고자료 (수정중)'!$C$22:$F$22</c:f>
              <c:strCache>
                <c:ptCount val="4"/>
                <c:pt idx="0">
                  <c:v>4/6</c:v>
                </c:pt>
                <c:pt idx="1">
                  <c:v>4/13</c:v>
                </c:pt>
                <c:pt idx="2">
                  <c:v>4/20</c:v>
                </c:pt>
                <c:pt idx="3">
                  <c:v>This week assumption </c:v>
                </c:pt>
              </c:strCache>
            </c:strRef>
          </c:cat>
          <c:val>
            <c:numRef>
              <c:f>'26.04.21 보고자료 (수정중)'!$C$25:$F$25</c:f>
              <c:numCache>
                <c:formatCode>General</c:formatCode>
                <c:ptCount val="4"/>
                <c:pt idx="0">
                  <c:v>140</c:v>
                </c:pt>
                <c:pt idx="1">
                  <c:v>75</c:v>
                </c:pt>
                <c:pt idx="2">
                  <c:v>30</c:v>
                </c:pt>
                <c:pt idx="3">
                  <c:v>30</c:v>
                </c:pt>
              </c:numCache>
            </c:numRef>
          </c:val>
          <c:smooth val="0"/>
          <c:extLst>
            <c:ext xmlns:c16="http://schemas.microsoft.com/office/drawing/2014/chart" uri="{C3380CC4-5D6E-409C-BE32-E72D297353CC}">
              <c16:uniqueId val="{00000002-5481-4488-A4F0-E4623183A2C9}"/>
            </c:ext>
          </c:extLst>
        </c:ser>
        <c:ser>
          <c:idx val="3"/>
          <c:order val="3"/>
          <c:tx>
            <c:strRef>
              <c:f>'26.04.21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'26.04.21 보고자료 (수정중)'!$C$22:$F$22</c:f>
              <c:strCache>
                <c:ptCount val="4"/>
                <c:pt idx="0">
                  <c:v>4/6</c:v>
                </c:pt>
                <c:pt idx="1">
                  <c:v>4/13</c:v>
                </c:pt>
                <c:pt idx="2">
                  <c:v>4/20</c:v>
                </c:pt>
                <c:pt idx="3">
                  <c:v>This week assumption </c:v>
                </c:pt>
              </c:strCache>
            </c:strRef>
          </c:cat>
          <c:val>
            <c:numRef>
              <c:f>'26.04.21 보고자료 (수정중)'!$C$26:$F$26</c:f>
              <c:numCache>
                <c:formatCode>General</c:formatCode>
                <c:ptCount val="4"/>
              </c:numCache>
            </c:numRef>
          </c:val>
          <c:smooth val="0"/>
          <c:extLst>
            <c:ext xmlns:c16="http://schemas.microsoft.com/office/drawing/2014/chart" uri="{C3380CC4-5D6E-409C-BE32-E72D297353CC}">
              <c16:uniqueId val="{00000003-5481-4488-A4F0-E4623183A2C9}"/>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'26.04.21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'26.04.21 보고자료 (수정중)'!$P$22:$R$22</c:f>
              <c:numCache>
                <c:formatCode>m"/"d;@</c:formatCode>
                <c:ptCount val="3"/>
                <c:pt idx="0">
                  <c:v>46118</c:v>
                </c:pt>
                <c:pt idx="1">
                  <c:v>46126</c:v>
                </c:pt>
                <c:pt idx="2">
                  <c:v>46132</c:v>
                </c:pt>
              </c:numCache>
            </c:numRef>
          </c:cat>
          <c:val>
            <c:numRef>
              <c:f>'26.04.21 보고자료 (수정중)'!$P$23:$R$23</c:f>
              <c:numCache>
                <c:formatCode>General</c:formatCode>
                <c:ptCount val="3"/>
                <c:pt idx="0">
                  <c:v>980</c:v>
                </c:pt>
                <c:pt idx="1">
                  <c:v>870</c:v>
                </c:pt>
                <c:pt idx="2">
                  <c:v>780</c:v>
                </c:pt>
              </c:numCache>
            </c:numRef>
          </c:val>
          <c:smooth val="0"/>
          <c:extLst>
            <c:ext xmlns:c16="http://schemas.microsoft.com/office/drawing/2014/chart" uri="{C3380CC4-5D6E-409C-BE32-E72D297353CC}">
              <c16:uniqueId val="{00000000-FFF4-49B3-ABE3-4A49E278367B}"/>
            </c:ext>
          </c:extLst>
        </c:ser>
        <c:ser>
          <c:idx val="1"/>
          <c:order val="1"/>
          <c:tx>
            <c:strRef>
              <c:f>'26.04.21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'26.04.21 보고자료 (수정중)'!$P$22:$R$22</c:f>
              <c:numCache>
                <c:formatCode>m"/"d;@</c:formatCode>
                <c:ptCount val="3"/>
                <c:pt idx="0">
                  <c:v>46118</c:v>
                </c:pt>
                <c:pt idx="1">
                  <c:v>46126</c:v>
                </c:pt>
                <c:pt idx="2">
                  <c:v>46132</c:v>
                </c:pt>
              </c:numCache>
            </c:numRef>
          </c:cat>
          <c:val>
            <c:numRef>
              <c:f>'26.04.21 보고자료 (수정중)'!$P$24:$R$24</c:f>
              <c:numCache>
                <c:formatCode>General</c:formatCode>
                <c:ptCount val="3"/>
                <c:pt idx="0">
                  <c:v>873</c:v>
                </c:pt>
                <c:pt idx="1">
                  <c:v>768</c:v>
                </c:pt>
                <c:pt idx="2">
                  <c:v>652</c:v>
                </c:pt>
              </c:numCache>
            </c:numRef>
          </c:val>
          <c:smooth val="0"/>
          <c:extLst>
            <c:ext xmlns:c16="http://schemas.microsoft.com/office/drawing/2014/chart" uri="{C3380CC4-5D6E-409C-BE32-E72D297353CC}">
              <c16:uniqueId val="{00000001-FFF4-49B3-ABE3-4A49E278367B}"/>
            </c:ext>
          </c:extLst>
        </c:ser>
        <c:ser>
          <c:idx val="2"/>
          <c:order val="2"/>
          <c:tx>
            <c:strRef>
              <c:f>'26.04.21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'26.04.21 보고자료 (수정중)'!$P$22:$R$22</c:f>
              <c:numCache>
                <c:formatCode>m"/"d;@</c:formatCode>
                <c:ptCount val="3"/>
                <c:pt idx="0">
                  <c:v>46118</c:v>
                </c:pt>
                <c:pt idx="1">
                  <c:v>46126</c:v>
                </c:pt>
                <c:pt idx="2">
                  <c:v>46132</c:v>
                </c:pt>
              </c:numCache>
            </c:numRef>
          </c:cat>
          <c:val>
            <c:numRef>
              <c:f>'26.04.21 보고자료 (수정중)'!$P$25:$R$25</c:f>
              <c:numCache>
                <c:formatCode>General</c:formatCode>
                <c:ptCount val="3"/>
                <c:pt idx="0">
                  <c:v>1128</c:v>
                </c:pt>
                <c:pt idx="1">
                  <c:v>1250</c:v>
                </c:pt>
                <c:pt idx="2">
                  <c:v>1230</c:v>
                </c:pt>
              </c:numCache>
            </c:numRef>
          </c:val>
          <c:smooth val="0"/>
          <c:extLst>
            <c:ext xmlns:c16="http://schemas.microsoft.com/office/drawing/2014/chart" uri="{C3380CC4-5D6E-409C-BE32-E72D297353CC}">
              <c16:uniqueId val="{00000002-FFF4-49B3-ABE3-4A49E278367B}"/>
            </c:ext>
          </c:extLst>
        </c:ser>
        <c:ser>
          <c:idx val="3"/>
          <c:order val="3"/>
          <c:tx>
            <c:strRef>
              <c:f>'26.04.21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'26.04.21 보고자료 (수정중)'!$P$22:$R$22</c:f>
              <c:numCache>
                <c:formatCode>m"/"d;@</c:formatCode>
                <c:ptCount val="3"/>
                <c:pt idx="0">
                  <c:v>46118</c:v>
                </c:pt>
                <c:pt idx="1">
                  <c:v>46126</c:v>
                </c:pt>
                <c:pt idx="2">
                  <c:v>46132</c:v>
                </c:pt>
              </c:numCache>
            </c:numRef>
          </c:cat>
          <c:val>
            <c:numRef>
              <c:f>'26.04.21 보고자료 (수정중)'!$P$26:$R$26</c:f>
              <c:numCache>
                <c:formatCode>General</c:formatCode>
                <c:ptCount val="3"/>
                <c:pt idx="0">
                  <c:v>875</c:v>
                </c:pt>
                <c:pt idx="1">
                  <c:v>803</c:v>
                </c:pt>
                <c:pt idx="2">
                  <c:v>703</c:v>
                </c:pt>
              </c:numCache>
            </c:numRef>
          </c:val>
          <c:smooth val="0"/>
          <c:extLst>
            <c:ext xmlns:c16="http://schemas.microsoft.com/office/drawing/2014/chart" uri="{C3380CC4-5D6E-409C-BE32-E72D297353CC}">
              <c16:uniqueId val="{00000003-FFF4-49B3-ABE3-4A49E278367B}"/>
            </c:ext>
          </c:extLst>
        </c:ser>
        <c:ser>
          <c:idx val="4"/>
          <c:order val="4"/>
          <c:tx>
            <c:strRef>
              <c:f>'26.04.21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'26.04.21 보고자료 (수정중)'!$P$22:$R$22</c:f>
              <c:numCache>
                <c:formatCode>m"/"d;@</c:formatCode>
                <c:ptCount val="3"/>
                <c:pt idx="0">
                  <c:v>46118</c:v>
                </c:pt>
                <c:pt idx="1">
                  <c:v>46126</c:v>
                </c:pt>
                <c:pt idx="2">
                  <c:v>46132</c:v>
                </c:pt>
              </c:numCache>
            </c:numRef>
          </c:cat>
          <c:val>
            <c:numRef>
              <c:f>'26.04.21 보고자료 (수정중)'!$P$27:$R$27</c:f>
              <c:numCache>
                <c:formatCode>General</c:formatCode>
                <c:ptCount val="3"/>
              </c:numCache>
            </c:numRef>
          </c:val>
          <c:smooth val="0"/>
          <c:extLst>
            <c:ext xmlns:c16="http://schemas.microsoft.com/office/drawing/2014/chart" uri="{C3380CC4-5D6E-409C-BE32-E72D297353CC}">
              <c16:uniqueId val="{00000004-FFF4-49B3-ABE3-4A49E278367B}"/>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57409663844042E-2"/>
          <c:y val="7.3825087611814125E-2"/>
          <c:w val="0.93053868916580484"/>
          <c:h val="0.60375739289602093"/>
        </c:manualLayout>
      </c:layout>
      <c:lineChart>
        <c:grouping val="standard"/>
        <c:varyColors val="0"/>
        <c:ser>
          <c:idx val="0"/>
          <c:order val="0"/>
          <c:tx>
            <c:v>Avg.KR</c:v>
          </c:tx>
          <c:spPr>
            <a:ln w="28575" cap="rnd">
              <a:solidFill>
                <a:srgbClr val="C00000"/>
              </a:solidFill>
              <a:round/>
            </a:ln>
            <a:effectLst/>
          </c:spPr>
          <c:marker>
            <c:symbol val="none"/>
          </c:marker>
          <c:dLbls>
            <c:dLbl>
              <c:idx val="19"/>
              <c:layout>
                <c:manualLayout>
                  <c:x val="-2.2163935242217846E-16"/>
                  <c:y val="-1.584540869925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8E-42DE-B6C8-4A84C9C75D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strLit>
          </c:cat>
          <c:val>
            <c:numLit>
              <c:formatCode>General</c:formatCode>
              <c:ptCount val="20"/>
              <c:pt idx="0">
                <c:v>395.1</c:v>
              </c:pt>
              <c:pt idx="1">
                <c:v>366.22</c:v>
              </c:pt>
              <c:pt idx="2">
                <c:v>353.66999999999996</c:v>
              </c:pt>
              <c:pt idx="3">
                <c:v>236.51999999999998</c:v>
              </c:pt>
              <c:pt idx="4">
                <c:v>220.90999999999997</c:v>
              </c:pt>
              <c:pt idx="5">
                <c:v>198.44000000000005</c:v>
              </c:pt>
              <c:pt idx="6">
                <c:v>196.72000000000003</c:v>
              </c:pt>
              <c:pt idx="7">
                <c:v>156.19000000000005</c:v>
              </c:pt>
              <c:pt idx="8">
                <c:v>173.86</c:v>
              </c:pt>
              <c:pt idx="9">
                <c:v>133.76999999999998</c:v>
              </c:pt>
              <c:pt idx="10">
                <c:v>174.5</c:v>
              </c:pt>
              <c:pt idx="11">
                <c:v>128.86000000000001</c:v>
              </c:pt>
              <c:pt idx="12">
                <c:v>158.12</c:v>
              </c:pt>
              <c:pt idx="13">
                <c:v>153.75</c:v>
              </c:pt>
              <c:pt idx="14">
                <c:v>139.27999999999997</c:v>
              </c:pt>
              <c:pt idx="15">
                <c:v>126.48000000000002</c:v>
              </c:pt>
              <c:pt idx="16">
                <c:v>142.29999999999995</c:v>
              </c:pt>
              <c:pt idx="17">
                <c:v>135.44000000000005</c:v>
              </c:pt>
              <c:pt idx="18">
                <c:v>135.60000000000002</c:v>
              </c:pt>
              <c:pt idx="19">
                <c:v>137.01999999999998</c:v>
              </c:pt>
            </c:numLit>
          </c:val>
          <c:smooth val="0"/>
          <c:extLst>
            <c:ext xmlns:c16="http://schemas.microsoft.com/office/drawing/2014/chart" uri="{C3380CC4-5D6E-409C-BE32-E72D297353CC}">
              <c16:uniqueId val="{00000000-638E-42DE-B6C8-4A84C9C75D10}"/>
            </c:ext>
          </c:extLst>
        </c:ser>
        <c:ser>
          <c:idx val="1"/>
          <c:order val="1"/>
          <c:tx>
            <c:v>Avg.SP</c:v>
          </c:tx>
          <c:spPr>
            <a:ln w="9525" cap="rnd">
              <a:solidFill>
                <a:schemeClr val="accent6">
                  <a:lumMod val="75000"/>
                </a:schemeClr>
              </a:solidFill>
              <a:round/>
            </a:ln>
            <a:effectLst/>
          </c:spPr>
          <c:marker>
            <c:symbol val="none"/>
          </c:marker>
          <c:cat>
            <c:strLit>
              <c:ptCount val="20"/>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strLit>
          </c:cat>
          <c:val>
            <c:numLit>
              <c:formatCode>General</c:formatCode>
              <c:ptCount val="20"/>
              <c:pt idx="0">
                <c:v>165.10000000000002</c:v>
              </c:pt>
              <c:pt idx="1">
                <c:v>76.220000000000027</c:v>
              </c:pt>
              <c:pt idx="2">
                <c:v>53.669999999999959</c:v>
              </c:pt>
              <c:pt idx="3">
                <c:v>46.519999999999982</c:v>
              </c:pt>
              <c:pt idx="4">
                <c:v>27.909999999999968</c:v>
              </c:pt>
              <c:pt idx="5">
                <c:v>23.440000000000055</c:v>
              </c:pt>
              <c:pt idx="6">
                <c:v>12.720000000000027</c:v>
              </c:pt>
              <c:pt idx="7">
                <c:v>11.190000000000055</c:v>
              </c:pt>
              <c:pt idx="8">
                <c:v>5.8600000000000136</c:v>
              </c:pt>
              <c:pt idx="9">
                <c:v>8.7699999999999818</c:v>
              </c:pt>
              <c:pt idx="10">
                <c:v>15.5</c:v>
              </c:pt>
              <c:pt idx="11">
                <c:v>20.860000000000014</c:v>
              </c:pt>
              <c:pt idx="12">
                <c:v>37.620000000000005</c:v>
              </c:pt>
              <c:pt idx="13">
                <c:v>39.75</c:v>
              </c:pt>
              <c:pt idx="14">
                <c:v>37.279999999999973</c:v>
              </c:pt>
              <c:pt idx="15">
                <c:v>33.480000000000018</c:v>
              </c:pt>
              <c:pt idx="16">
                <c:v>36.299999999999955</c:v>
              </c:pt>
              <c:pt idx="17">
                <c:v>26.440000000000055</c:v>
              </c:pt>
              <c:pt idx="18">
                <c:v>27.600000000000023</c:v>
              </c:pt>
              <c:pt idx="19">
                <c:v>32.019999999999982</c:v>
              </c:pt>
            </c:numLit>
          </c:val>
          <c:smooth val="0"/>
          <c:extLst>
            <c:ext xmlns:c16="http://schemas.microsoft.com/office/drawing/2014/chart" uri="{C3380CC4-5D6E-409C-BE32-E72D297353CC}">
              <c16:uniqueId val="{00000001-638E-42DE-B6C8-4A84C9C75D10}"/>
            </c:ext>
          </c:extLst>
        </c:ser>
        <c:ser>
          <c:idx val="2"/>
          <c:order val="2"/>
          <c:tx>
            <c:v>Avg.ZS</c:v>
          </c:tx>
          <c:spPr>
            <a:ln w="9525" cap="rnd">
              <a:solidFill>
                <a:schemeClr val="accent1">
                  <a:lumMod val="75000"/>
                </a:schemeClr>
              </a:solidFill>
              <a:round/>
            </a:ln>
            <a:effectLst/>
          </c:spPr>
          <c:marker>
            <c:symbol val="none"/>
          </c:marker>
          <c:cat>
            <c:strLit>
              <c:ptCount val="20"/>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strLit>
          </c:cat>
          <c:val>
            <c:numLit>
              <c:formatCode>General</c:formatCode>
              <c:ptCount val="20"/>
              <c:pt idx="0">
                <c:v>125.10000000000002</c:v>
              </c:pt>
              <c:pt idx="1">
                <c:v>106.22000000000003</c:v>
              </c:pt>
              <c:pt idx="2">
                <c:v>78.669999999999959</c:v>
              </c:pt>
              <c:pt idx="3">
                <c:v>56.519999999999982</c:v>
              </c:pt>
              <c:pt idx="4">
                <c:v>70.909999999999968</c:v>
              </c:pt>
              <c:pt idx="5">
                <c:v>38.440000000000055</c:v>
              </c:pt>
              <c:pt idx="6">
                <c:v>26.720000000000027</c:v>
              </c:pt>
              <c:pt idx="7">
                <c:v>26.190000000000055</c:v>
              </c:pt>
              <c:pt idx="8">
                <c:v>38.860000000000014</c:v>
              </c:pt>
              <c:pt idx="9">
                <c:v>13.769999999999982</c:v>
              </c:pt>
              <c:pt idx="10">
                <c:v>9.5</c:v>
              </c:pt>
              <c:pt idx="11">
                <c:v>8.8600000000000136</c:v>
              </c:pt>
              <c:pt idx="12">
                <c:v>17.620000000000005</c:v>
              </c:pt>
              <c:pt idx="13">
                <c:v>13.75</c:v>
              </c:pt>
              <c:pt idx="14">
                <c:v>24.279999999999973</c:v>
              </c:pt>
              <c:pt idx="15">
                <c:v>46.480000000000018</c:v>
              </c:pt>
              <c:pt idx="16">
                <c:v>57.299999999999955</c:v>
              </c:pt>
              <c:pt idx="17">
                <c:v>47.440000000000055</c:v>
              </c:pt>
              <c:pt idx="18">
                <c:v>43.600000000000023</c:v>
              </c:pt>
              <c:pt idx="19">
                <c:v>43.019999999999982</c:v>
              </c:pt>
            </c:numLit>
          </c:val>
          <c:smooth val="0"/>
          <c:extLst>
            <c:ext xmlns:c16="http://schemas.microsoft.com/office/drawing/2014/chart" uri="{C3380CC4-5D6E-409C-BE32-E72D297353CC}">
              <c16:uniqueId val="{00000002-638E-42DE-B6C8-4A84C9C75D10}"/>
            </c:ext>
          </c:extLst>
        </c:ser>
        <c:ser>
          <c:idx val="3"/>
          <c:order val="3"/>
          <c:tx>
            <c:v>Avg.KR '25 25%</c:v>
          </c:tx>
          <c:spPr>
            <a:ln w="12700" cap="rnd">
              <a:solidFill>
                <a:srgbClr val="C00000"/>
              </a:solidFill>
              <a:prstDash val="dash"/>
              <a:round/>
            </a:ln>
            <a:effectLst/>
          </c:spPr>
          <c:marker>
            <c:symbol val="none"/>
          </c:marker>
          <c:cat>
            <c:strLit>
              <c:ptCount val="20"/>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strLit>
          </c:cat>
          <c:val>
            <c:numLit>
              <c:formatCode>General</c:formatCode>
              <c:ptCount val="20"/>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pt idx="15">
                <c:v>23.747500000000002</c:v>
              </c:pt>
              <c:pt idx="16">
                <c:v>23.747500000000002</c:v>
              </c:pt>
              <c:pt idx="17">
                <c:v>23.747500000000002</c:v>
              </c:pt>
              <c:pt idx="18">
                <c:v>23.747500000000002</c:v>
              </c:pt>
              <c:pt idx="19">
                <c:v>23.747500000000002</c:v>
              </c:pt>
            </c:numLit>
          </c:val>
          <c:smooth val="0"/>
          <c:extLst>
            <c:ext xmlns:c16="http://schemas.microsoft.com/office/drawing/2014/chart" uri="{C3380CC4-5D6E-409C-BE32-E72D297353CC}">
              <c16:uniqueId val="{00000003-638E-42DE-B6C8-4A84C9C75D10}"/>
            </c:ext>
          </c:extLst>
        </c:ser>
        <c:ser>
          <c:idx val="4"/>
          <c:order val="4"/>
          <c:tx>
            <c:v>Avg.KR '25 75%</c:v>
          </c:tx>
          <c:spPr>
            <a:ln w="12700" cap="rnd">
              <a:solidFill>
                <a:srgbClr val="C00000"/>
              </a:solidFill>
              <a:prstDash val="dash"/>
              <a:round/>
            </a:ln>
            <a:effectLst/>
          </c:spPr>
          <c:marker>
            <c:symbol val="none"/>
          </c:marker>
          <c:cat>
            <c:strLit>
              <c:ptCount val="20"/>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strLit>
          </c:cat>
          <c:val>
            <c:numLit>
              <c:formatCode>General</c:formatCode>
              <c:ptCount val="20"/>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pt idx="15">
                <c:v>51.122500000000002</c:v>
              </c:pt>
              <c:pt idx="16">
                <c:v>51.122500000000002</c:v>
              </c:pt>
              <c:pt idx="17">
                <c:v>51.122500000000002</c:v>
              </c:pt>
              <c:pt idx="18">
                <c:v>51.122500000000002</c:v>
              </c:pt>
              <c:pt idx="19">
                <c:v>51.122500000000002</c:v>
              </c:pt>
            </c:numLit>
          </c:val>
          <c:smooth val="0"/>
          <c:extLst>
            <c:ext xmlns:c16="http://schemas.microsoft.com/office/drawing/2014/chart" uri="{C3380CC4-5D6E-409C-BE32-E72D297353CC}">
              <c16:uniqueId val="{00000004-638E-42DE-B6C8-4A84C9C75D10}"/>
            </c:ext>
          </c:extLst>
        </c:ser>
        <c:ser>
          <c:idx val="5"/>
          <c:order val="5"/>
          <c:tx>
            <c:v>Avg.SP '25 25%</c:v>
          </c:tx>
          <c:spPr>
            <a:ln w="9525" cap="rnd">
              <a:solidFill>
                <a:schemeClr val="accent6">
                  <a:lumMod val="75000"/>
                </a:schemeClr>
              </a:solidFill>
              <a:prstDash val="sysDash"/>
              <a:round/>
            </a:ln>
            <a:effectLst/>
          </c:spPr>
          <c:marker>
            <c:symbol val="none"/>
          </c:marker>
          <c:cat>
            <c:strLit>
              <c:ptCount val="20"/>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strLit>
          </c:cat>
          <c:val>
            <c:numLit>
              <c:formatCode>General</c:formatCode>
              <c:ptCount val="20"/>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pt idx="15">
                <c:v>10.920000000000016</c:v>
              </c:pt>
              <c:pt idx="16">
                <c:v>10.920000000000016</c:v>
              </c:pt>
              <c:pt idx="17">
                <c:v>10.920000000000016</c:v>
              </c:pt>
              <c:pt idx="18">
                <c:v>10.920000000000016</c:v>
              </c:pt>
              <c:pt idx="19">
                <c:v>10.920000000000016</c:v>
              </c:pt>
            </c:numLit>
          </c:val>
          <c:smooth val="0"/>
          <c:extLst>
            <c:ext xmlns:c16="http://schemas.microsoft.com/office/drawing/2014/chart" uri="{C3380CC4-5D6E-409C-BE32-E72D297353CC}">
              <c16:uniqueId val="{00000005-638E-42DE-B6C8-4A84C9C75D10}"/>
            </c:ext>
          </c:extLst>
        </c:ser>
        <c:ser>
          <c:idx val="6"/>
          <c:order val="6"/>
          <c:tx>
            <c:v>Avg.SP '25 75%</c:v>
          </c:tx>
          <c:spPr>
            <a:ln w="9525" cap="rnd">
              <a:solidFill>
                <a:schemeClr val="accent6">
                  <a:lumMod val="75000"/>
                </a:schemeClr>
              </a:solidFill>
              <a:prstDash val="sysDash"/>
              <a:round/>
            </a:ln>
            <a:effectLst/>
          </c:spPr>
          <c:marker>
            <c:symbol val="none"/>
          </c:marker>
          <c:cat>
            <c:strLit>
              <c:ptCount val="20"/>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strLit>
          </c:cat>
          <c:val>
            <c:numLit>
              <c:formatCode>General</c:formatCode>
              <c:ptCount val="20"/>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pt idx="15">
                <c:v>13.480000000000018</c:v>
              </c:pt>
              <c:pt idx="16">
                <c:v>13.480000000000018</c:v>
              </c:pt>
              <c:pt idx="17">
                <c:v>13.480000000000018</c:v>
              </c:pt>
              <c:pt idx="18">
                <c:v>13.480000000000018</c:v>
              </c:pt>
              <c:pt idx="19">
                <c:v>13.480000000000018</c:v>
              </c:pt>
            </c:numLit>
          </c:val>
          <c:smooth val="0"/>
          <c:extLst>
            <c:ext xmlns:c16="http://schemas.microsoft.com/office/drawing/2014/chart" uri="{C3380CC4-5D6E-409C-BE32-E72D297353CC}">
              <c16:uniqueId val="{00000006-638E-42DE-B6C8-4A84C9C75D10}"/>
            </c:ext>
          </c:extLst>
        </c:ser>
        <c:ser>
          <c:idx val="7"/>
          <c:order val="7"/>
          <c:tx>
            <c:v>Avg. JP Spread</c:v>
          </c:tx>
          <c:spPr>
            <a:ln w="12700" cap="rnd">
              <a:solidFill>
                <a:schemeClr val="tx1">
                  <a:lumMod val="75000"/>
                  <a:lumOff val="25000"/>
                </a:schemeClr>
              </a:solidFill>
              <a:round/>
            </a:ln>
            <a:effectLst/>
          </c:spPr>
          <c:marker>
            <c:symbol val="none"/>
          </c:marker>
          <c:cat>
            <c:strLit>
              <c:ptCount val="20"/>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pt idx="15">
                <c:v>2026년 4월 07 Apr</c:v>
              </c:pt>
              <c:pt idx="16">
                <c:v>2026년 4월 08 Apr</c:v>
              </c:pt>
              <c:pt idx="17">
                <c:v>2026년 4월 09 Apr</c:v>
              </c:pt>
              <c:pt idx="18">
                <c:v>2026년 4월 10 Apr</c:v>
              </c:pt>
              <c:pt idx="19">
                <c:v>2026년 4월 13 Apr</c:v>
              </c:pt>
            </c:strLit>
          </c:cat>
          <c:val>
            <c:numLit>
              <c:formatCode>General</c:formatCode>
              <c:ptCount val="20"/>
              <c:pt idx="0">
                <c:v>102.10000000000002</c:v>
              </c:pt>
              <c:pt idx="1">
                <c:v>102.22000000000003</c:v>
              </c:pt>
              <c:pt idx="2">
                <c:v>80.669999999999959</c:v>
              </c:pt>
              <c:pt idx="3">
                <c:v>76.519999999999982</c:v>
              </c:pt>
              <c:pt idx="4">
                <c:v>76.909999999999968</c:v>
              </c:pt>
              <c:pt idx="5">
                <c:v>78.440000000000055</c:v>
              </c:pt>
              <c:pt idx="6">
                <c:v>71.720000000000027</c:v>
              </c:pt>
              <c:pt idx="7">
                <c:v>86.190000000000055</c:v>
              </c:pt>
              <c:pt idx="8">
                <c:v>93.860000000000014</c:v>
              </c:pt>
              <c:pt idx="9">
                <c:v>63.769999999999982</c:v>
              </c:pt>
              <c:pt idx="10">
                <c:v>64.5</c:v>
              </c:pt>
              <c:pt idx="11">
                <c:v>73.860000000000014</c:v>
              </c:pt>
              <c:pt idx="12">
                <c:v>84.62</c:v>
              </c:pt>
              <c:pt idx="13">
                <c:v>93.75</c:v>
              </c:pt>
              <c:pt idx="14">
                <c:v>107.27999999999997</c:v>
              </c:pt>
              <c:pt idx="15">
                <c:v>116.48000000000002</c:v>
              </c:pt>
              <c:pt idx="16">
                <c:v>167.29999999999995</c:v>
              </c:pt>
              <c:pt idx="17">
                <c:v>164.44000000000005</c:v>
              </c:pt>
              <c:pt idx="18">
                <c:v>180.60000000000002</c:v>
              </c:pt>
              <c:pt idx="19">
                <c:v>193.01999999999998</c:v>
              </c:pt>
            </c:numLit>
          </c:val>
          <c:smooth val="0"/>
          <c:extLst>
            <c:ext xmlns:c16="http://schemas.microsoft.com/office/drawing/2014/chart" uri="{C3380CC4-5D6E-409C-BE32-E72D297353CC}">
              <c16:uniqueId val="{00000007-638E-42DE-B6C8-4A84C9C75D10}"/>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409]d&quot;-&quot;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ayout>
        <c:manualLayout>
          <c:xMode val="edge"/>
          <c:yMode val="edge"/>
          <c:x val="3.6956122072734528E-2"/>
          <c:y val="0.86558258730924931"/>
          <c:w val="0.91304378092567584"/>
          <c:h val="7.3819922174609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'26.04.14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'26.04.14 보고자료 (수정중)'!$C$22:$F$22</c:f>
              <c:strCache>
                <c:ptCount val="4"/>
                <c:pt idx="0">
                  <c:v>4/6</c:v>
                </c:pt>
                <c:pt idx="1">
                  <c:v>4/13</c:v>
                </c:pt>
                <c:pt idx="2">
                  <c:v>4/20</c:v>
                </c:pt>
                <c:pt idx="3">
                  <c:v>This week assumption </c:v>
                </c:pt>
              </c:strCache>
            </c:strRef>
          </c:cat>
          <c:val>
            <c:numRef>
              <c:f>'26.04.14 보고자료 (수정중)'!$C$23:$F$23</c:f>
              <c:numCache>
                <c:formatCode>General</c:formatCode>
                <c:ptCount val="4"/>
                <c:pt idx="0">
                  <c:v>130</c:v>
                </c:pt>
                <c:pt idx="1">
                  <c:v>70</c:v>
                </c:pt>
                <c:pt idx="2">
                  <c:v>40</c:v>
                </c:pt>
                <c:pt idx="3">
                  <c:v>40</c:v>
                </c:pt>
              </c:numCache>
            </c:numRef>
          </c:val>
          <c:smooth val="0"/>
          <c:extLst>
            <c:ext xmlns:c16="http://schemas.microsoft.com/office/drawing/2014/chart" uri="{C3380CC4-5D6E-409C-BE32-E72D297353CC}">
              <c16:uniqueId val="{00000000-BCB2-475D-8A2A-228013A50192}"/>
            </c:ext>
          </c:extLst>
        </c:ser>
        <c:ser>
          <c:idx val="1"/>
          <c:order val="1"/>
          <c:tx>
            <c:strRef>
              <c:f>'26.04.14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'26.04.14 보고자료 (수정중)'!$C$22:$F$22</c:f>
              <c:strCache>
                <c:ptCount val="4"/>
                <c:pt idx="0">
                  <c:v>4/6</c:v>
                </c:pt>
                <c:pt idx="1">
                  <c:v>4/13</c:v>
                </c:pt>
                <c:pt idx="2">
                  <c:v>4/20</c:v>
                </c:pt>
                <c:pt idx="3">
                  <c:v>This week assumption </c:v>
                </c:pt>
              </c:strCache>
            </c:strRef>
          </c:cat>
          <c:val>
            <c:numRef>
              <c:f>'26.04.14 보고자료 (수정중)'!$C$24:$F$24</c:f>
              <c:numCache>
                <c:formatCode>General</c:formatCode>
                <c:ptCount val="4"/>
                <c:pt idx="0">
                  <c:v>180</c:v>
                </c:pt>
                <c:pt idx="1">
                  <c:v>70</c:v>
                </c:pt>
                <c:pt idx="2">
                  <c:v>50</c:v>
                </c:pt>
                <c:pt idx="3">
                  <c:v>50</c:v>
                </c:pt>
              </c:numCache>
            </c:numRef>
          </c:val>
          <c:smooth val="0"/>
          <c:extLst>
            <c:ext xmlns:c16="http://schemas.microsoft.com/office/drawing/2014/chart" uri="{C3380CC4-5D6E-409C-BE32-E72D297353CC}">
              <c16:uniqueId val="{00000001-BCB2-475D-8A2A-228013A50192}"/>
            </c:ext>
          </c:extLst>
        </c:ser>
        <c:ser>
          <c:idx val="2"/>
          <c:order val="2"/>
          <c:tx>
            <c:strRef>
              <c:f>'26.04.14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'26.04.14 보고자료 (수정중)'!$C$22:$F$22</c:f>
              <c:strCache>
                <c:ptCount val="4"/>
                <c:pt idx="0">
                  <c:v>4/6</c:v>
                </c:pt>
                <c:pt idx="1">
                  <c:v>4/13</c:v>
                </c:pt>
                <c:pt idx="2">
                  <c:v>4/20</c:v>
                </c:pt>
                <c:pt idx="3">
                  <c:v>This week assumption </c:v>
                </c:pt>
              </c:strCache>
            </c:strRef>
          </c:cat>
          <c:val>
            <c:numRef>
              <c:f>'26.04.14 보고자료 (수정중)'!$C$25:$F$25</c:f>
              <c:numCache>
                <c:formatCode>General</c:formatCode>
                <c:ptCount val="4"/>
                <c:pt idx="0">
                  <c:v>140</c:v>
                </c:pt>
                <c:pt idx="1">
                  <c:v>75</c:v>
                </c:pt>
                <c:pt idx="2">
                  <c:v>32</c:v>
                </c:pt>
                <c:pt idx="3">
                  <c:v>32</c:v>
                </c:pt>
              </c:numCache>
            </c:numRef>
          </c:val>
          <c:smooth val="0"/>
          <c:extLst>
            <c:ext xmlns:c16="http://schemas.microsoft.com/office/drawing/2014/chart" uri="{C3380CC4-5D6E-409C-BE32-E72D297353CC}">
              <c16:uniqueId val="{00000002-BCB2-475D-8A2A-228013A50192}"/>
            </c:ext>
          </c:extLst>
        </c:ser>
        <c:ser>
          <c:idx val="3"/>
          <c:order val="3"/>
          <c:tx>
            <c:strRef>
              <c:f>'26.04.14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'26.04.14 보고자료 (수정중)'!$C$22:$F$22</c:f>
              <c:strCache>
                <c:ptCount val="4"/>
                <c:pt idx="0">
                  <c:v>4/6</c:v>
                </c:pt>
                <c:pt idx="1">
                  <c:v>4/13</c:v>
                </c:pt>
                <c:pt idx="2">
                  <c:v>4/20</c:v>
                </c:pt>
                <c:pt idx="3">
                  <c:v>This week assumption </c:v>
                </c:pt>
              </c:strCache>
            </c:strRef>
          </c:cat>
          <c:val>
            <c:numRef>
              <c:f>'26.04.14 보고자료 (수정중)'!$C$26:$F$26</c:f>
              <c:numCache>
                <c:formatCode>General</c:formatCode>
                <c:ptCount val="4"/>
              </c:numCache>
            </c:numRef>
          </c:val>
          <c:smooth val="0"/>
          <c:extLst>
            <c:ext xmlns:c16="http://schemas.microsoft.com/office/drawing/2014/chart" uri="{C3380CC4-5D6E-409C-BE32-E72D297353CC}">
              <c16:uniqueId val="{00000003-BCB2-475D-8A2A-228013A50192}"/>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'26.04.14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'26.04.14 보고자료 (수정중)'!$P$22:$R$22</c:f>
              <c:numCache>
                <c:formatCode>m"/"d;@</c:formatCode>
                <c:ptCount val="3"/>
                <c:pt idx="0">
                  <c:v>46111</c:v>
                </c:pt>
                <c:pt idx="1">
                  <c:v>46118</c:v>
                </c:pt>
                <c:pt idx="2">
                  <c:v>46126</c:v>
                </c:pt>
              </c:numCache>
            </c:numRef>
          </c:cat>
          <c:val>
            <c:numRef>
              <c:f>'26.04.14 보고자료 (수정중)'!$P$23:$R$23</c:f>
              <c:numCache>
                <c:formatCode>General</c:formatCode>
                <c:ptCount val="3"/>
                <c:pt idx="0">
                  <c:v>1050</c:v>
                </c:pt>
                <c:pt idx="1">
                  <c:v>980</c:v>
                </c:pt>
                <c:pt idx="2">
                  <c:v>870</c:v>
                </c:pt>
              </c:numCache>
            </c:numRef>
          </c:val>
          <c:smooth val="0"/>
          <c:extLst>
            <c:ext xmlns:c16="http://schemas.microsoft.com/office/drawing/2014/chart" uri="{C3380CC4-5D6E-409C-BE32-E72D297353CC}">
              <c16:uniqueId val="{00000000-FC42-45EF-A739-23B3A8386075}"/>
            </c:ext>
          </c:extLst>
        </c:ser>
        <c:ser>
          <c:idx val="1"/>
          <c:order val="1"/>
          <c:tx>
            <c:strRef>
              <c:f>'26.04.14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'26.04.14 보고자료 (수정중)'!$P$22:$R$22</c:f>
              <c:numCache>
                <c:formatCode>m"/"d;@</c:formatCode>
                <c:ptCount val="3"/>
                <c:pt idx="0">
                  <c:v>46111</c:v>
                </c:pt>
                <c:pt idx="1">
                  <c:v>46118</c:v>
                </c:pt>
                <c:pt idx="2">
                  <c:v>46126</c:v>
                </c:pt>
              </c:numCache>
            </c:numRef>
          </c:cat>
          <c:val>
            <c:numRef>
              <c:f>'26.04.14 보고자료 (수정중)'!$P$24:$R$24</c:f>
              <c:numCache>
                <c:formatCode>General</c:formatCode>
                <c:ptCount val="3"/>
                <c:pt idx="0">
                  <c:v>905</c:v>
                </c:pt>
                <c:pt idx="1">
                  <c:v>873</c:v>
                </c:pt>
                <c:pt idx="2">
                  <c:v>768</c:v>
                </c:pt>
              </c:numCache>
            </c:numRef>
          </c:val>
          <c:smooth val="0"/>
          <c:extLst>
            <c:ext xmlns:c16="http://schemas.microsoft.com/office/drawing/2014/chart" uri="{C3380CC4-5D6E-409C-BE32-E72D297353CC}">
              <c16:uniqueId val="{00000001-FC42-45EF-A739-23B3A8386075}"/>
            </c:ext>
          </c:extLst>
        </c:ser>
        <c:ser>
          <c:idx val="2"/>
          <c:order val="2"/>
          <c:tx>
            <c:strRef>
              <c:f>'26.04.14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'26.04.14 보고자료 (수정중)'!$P$22:$R$22</c:f>
              <c:numCache>
                <c:formatCode>m"/"d;@</c:formatCode>
                <c:ptCount val="3"/>
                <c:pt idx="0">
                  <c:v>46111</c:v>
                </c:pt>
                <c:pt idx="1">
                  <c:v>46118</c:v>
                </c:pt>
                <c:pt idx="2">
                  <c:v>46126</c:v>
                </c:pt>
              </c:numCache>
            </c:numRef>
          </c:cat>
          <c:val>
            <c:numRef>
              <c:f>'26.04.14 보고자료 (수정중)'!$P$25:$R$25</c:f>
              <c:numCache>
                <c:formatCode>General</c:formatCode>
                <c:ptCount val="3"/>
                <c:pt idx="0">
                  <c:v>1150</c:v>
                </c:pt>
                <c:pt idx="1">
                  <c:v>1128</c:v>
                </c:pt>
                <c:pt idx="2">
                  <c:v>1250</c:v>
                </c:pt>
              </c:numCache>
            </c:numRef>
          </c:val>
          <c:smooth val="0"/>
          <c:extLst>
            <c:ext xmlns:c16="http://schemas.microsoft.com/office/drawing/2014/chart" uri="{C3380CC4-5D6E-409C-BE32-E72D297353CC}">
              <c16:uniqueId val="{00000002-FC42-45EF-A739-23B3A8386075}"/>
            </c:ext>
          </c:extLst>
        </c:ser>
        <c:ser>
          <c:idx val="3"/>
          <c:order val="3"/>
          <c:tx>
            <c:strRef>
              <c:f>'26.04.14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'26.04.14 보고자료 (수정중)'!$P$22:$R$22</c:f>
              <c:numCache>
                <c:formatCode>m"/"d;@</c:formatCode>
                <c:ptCount val="3"/>
                <c:pt idx="0">
                  <c:v>46111</c:v>
                </c:pt>
                <c:pt idx="1">
                  <c:v>46118</c:v>
                </c:pt>
                <c:pt idx="2">
                  <c:v>46126</c:v>
                </c:pt>
              </c:numCache>
            </c:numRef>
          </c:cat>
          <c:val>
            <c:numRef>
              <c:f>'26.04.14 보고자료 (수정중)'!$P$26:$R$26</c:f>
              <c:numCache>
                <c:formatCode>General</c:formatCode>
                <c:ptCount val="3"/>
                <c:pt idx="0">
                  <c:v>870</c:v>
                </c:pt>
                <c:pt idx="1">
                  <c:v>875</c:v>
                </c:pt>
                <c:pt idx="2">
                  <c:v>803</c:v>
                </c:pt>
              </c:numCache>
            </c:numRef>
          </c:val>
          <c:smooth val="0"/>
          <c:extLst>
            <c:ext xmlns:c16="http://schemas.microsoft.com/office/drawing/2014/chart" uri="{C3380CC4-5D6E-409C-BE32-E72D297353CC}">
              <c16:uniqueId val="{00000003-FC42-45EF-A739-23B3A8386075}"/>
            </c:ext>
          </c:extLst>
        </c:ser>
        <c:ser>
          <c:idx val="4"/>
          <c:order val="4"/>
          <c:tx>
            <c:strRef>
              <c:f>'26.04.14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'26.04.14 보고자료 (수정중)'!$P$22:$R$22</c:f>
              <c:numCache>
                <c:formatCode>m"/"d;@</c:formatCode>
                <c:ptCount val="3"/>
                <c:pt idx="0">
                  <c:v>46111</c:v>
                </c:pt>
                <c:pt idx="1">
                  <c:v>46118</c:v>
                </c:pt>
                <c:pt idx="2">
                  <c:v>46126</c:v>
                </c:pt>
              </c:numCache>
            </c:numRef>
          </c:cat>
          <c:val>
            <c:numRef>
              <c:f>'26.04.14 보고자료 (수정중)'!$P$27:$R$27</c:f>
              <c:numCache>
                <c:formatCode>General</c:formatCode>
                <c:ptCount val="3"/>
              </c:numCache>
            </c:numRef>
          </c:val>
          <c:smooth val="0"/>
          <c:extLst>
            <c:ext xmlns:c16="http://schemas.microsoft.com/office/drawing/2014/chart" uri="{C3380CC4-5D6E-409C-BE32-E72D297353CC}">
              <c16:uniqueId val="{00000004-FC42-45EF-A739-23B3A8386075}"/>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7.5398494931637736E-2"/>
          <c:y val="0.77678584999417355"/>
          <c:w val="0.87548526468574639"/>
          <c:h val="0.103014510577012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57460874802828E-2"/>
          <c:y val="0.16510784496939104"/>
          <c:w val="0.93053868916580484"/>
          <c:h val="0.63766246567915741"/>
        </c:manualLayout>
      </c:layout>
      <c:lineChart>
        <c:grouping val="standard"/>
        <c:varyColors val="0"/>
        <c:ser>
          <c:idx val="0"/>
          <c:order val="0"/>
          <c:tx>
            <c:v>Avg.KR</c:v>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strLit>
          </c:cat>
          <c:val>
            <c:numLit>
              <c:formatCode>General</c:formatCode>
              <c:ptCount val="15"/>
              <c:pt idx="0">
                <c:v>395.1</c:v>
              </c:pt>
              <c:pt idx="1">
                <c:v>366.22</c:v>
              </c:pt>
              <c:pt idx="2">
                <c:v>353.66999999999996</c:v>
              </c:pt>
              <c:pt idx="3">
                <c:v>236.51999999999998</c:v>
              </c:pt>
              <c:pt idx="4">
                <c:v>220.90999999999997</c:v>
              </c:pt>
              <c:pt idx="5">
                <c:v>198.44000000000005</c:v>
              </c:pt>
              <c:pt idx="6">
                <c:v>196.72000000000003</c:v>
              </c:pt>
              <c:pt idx="7">
                <c:v>156.19000000000005</c:v>
              </c:pt>
              <c:pt idx="8">
                <c:v>173.86</c:v>
              </c:pt>
              <c:pt idx="9">
                <c:v>133.76999999999998</c:v>
              </c:pt>
              <c:pt idx="10">
                <c:v>174.5</c:v>
              </c:pt>
              <c:pt idx="11">
                <c:v>128.86000000000001</c:v>
              </c:pt>
              <c:pt idx="12">
                <c:v>158.12</c:v>
              </c:pt>
              <c:pt idx="13">
                <c:v>153.75</c:v>
              </c:pt>
              <c:pt idx="14">
                <c:v>139.27999999999997</c:v>
              </c:pt>
            </c:numLit>
          </c:val>
          <c:smooth val="0"/>
          <c:extLst>
            <c:ext xmlns:c16="http://schemas.microsoft.com/office/drawing/2014/chart" uri="{C3380CC4-5D6E-409C-BE32-E72D297353CC}">
              <c16:uniqueId val="{00000000-B4E4-4E32-821A-67F00DBDE45F}"/>
            </c:ext>
          </c:extLst>
        </c:ser>
        <c:ser>
          <c:idx val="1"/>
          <c:order val="1"/>
          <c:tx>
            <c:v>Avg.SP</c:v>
          </c:tx>
          <c:spPr>
            <a:ln w="9525" cap="rnd">
              <a:solidFill>
                <a:schemeClr val="accent6">
                  <a:lumMod val="75000"/>
                </a:schemeClr>
              </a:solidFill>
              <a:round/>
            </a:ln>
            <a:effectLst/>
          </c:spPr>
          <c:marker>
            <c:symbol val="none"/>
          </c:marker>
          <c:cat>
            <c:strLit>
              <c:ptCount val="1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strLit>
          </c:cat>
          <c:val>
            <c:numLit>
              <c:formatCode>General</c:formatCode>
              <c:ptCount val="15"/>
              <c:pt idx="0">
                <c:v>165.10000000000002</c:v>
              </c:pt>
              <c:pt idx="1">
                <c:v>76.220000000000027</c:v>
              </c:pt>
              <c:pt idx="2">
                <c:v>53.669999999999959</c:v>
              </c:pt>
              <c:pt idx="3">
                <c:v>46.519999999999982</c:v>
              </c:pt>
              <c:pt idx="4">
                <c:v>27.909999999999968</c:v>
              </c:pt>
              <c:pt idx="5">
                <c:v>23.440000000000055</c:v>
              </c:pt>
              <c:pt idx="6">
                <c:v>12.720000000000027</c:v>
              </c:pt>
              <c:pt idx="7">
                <c:v>11.190000000000055</c:v>
              </c:pt>
              <c:pt idx="8">
                <c:v>5.8600000000000136</c:v>
              </c:pt>
              <c:pt idx="9">
                <c:v>8.7699999999999818</c:v>
              </c:pt>
              <c:pt idx="10">
                <c:v>15.5</c:v>
              </c:pt>
              <c:pt idx="11">
                <c:v>20.860000000000014</c:v>
              </c:pt>
              <c:pt idx="12">
                <c:v>37.620000000000005</c:v>
              </c:pt>
              <c:pt idx="13">
                <c:v>39.75</c:v>
              </c:pt>
              <c:pt idx="14">
                <c:v>37.279999999999973</c:v>
              </c:pt>
            </c:numLit>
          </c:val>
          <c:smooth val="0"/>
          <c:extLst>
            <c:ext xmlns:c16="http://schemas.microsoft.com/office/drawing/2014/chart" uri="{C3380CC4-5D6E-409C-BE32-E72D297353CC}">
              <c16:uniqueId val="{00000001-B4E4-4E32-821A-67F00DBDE45F}"/>
            </c:ext>
          </c:extLst>
        </c:ser>
        <c:ser>
          <c:idx val="2"/>
          <c:order val="2"/>
          <c:tx>
            <c:v>Avg.ZS</c:v>
          </c:tx>
          <c:spPr>
            <a:ln w="9525" cap="rnd">
              <a:solidFill>
                <a:schemeClr val="accent1">
                  <a:lumMod val="75000"/>
                </a:schemeClr>
              </a:solidFill>
              <a:round/>
            </a:ln>
            <a:effectLst/>
          </c:spPr>
          <c:marker>
            <c:symbol val="none"/>
          </c:marker>
          <c:cat>
            <c:strLit>
              <c:ptCount val="1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strLit>
          </c:cat>
          <c:val>
            <c:numLit>
              <c:formatCode>General</c:formatCode>
              <c:ptCount val="15"/>
              <c:pt idx="0">
                <c:v>125.10000000000002</c:v>
              </c:pt>
              <c:pt idx="1">
                <c:v>106.22000000000003</c:v>
              </c:pt>
              <c:pt idx="2">
                <c:v>78.669999999999959</c:v>
              </c:pt>
              <c:pt idx="3">
                <c:v>56.519999999999982</c:v>
              </c:pt>
              <c:pt idx="4">
                <c:v>70.909999999999968</c:v>
              </c:pt>
              <c:pt idx="5">
                <c:v>38.440000000000055</c:v>
              </c:pt>
              <c:pt idx="6">
                <c:v>26.720000000000027</c:v>
              </c:pt>
              <c:pt idx="7">
                <c:v>26.190000000000055</c:v>
              </c:pt>
              <c:pt idx="8">
                <c:v>38.860000000000014</c:v>
              </c:pt>
              <c:pt idx="9">
                <c:v>13.769999999999982</c:v>
              </c:pt>
              <c:pt idx="10">
                <c:v>9.5</c:v>
              </c:pt>
              <c:pt idx="11">
                <c:v>8.8600000000000136</c:v>
              </c:pt>
              <c:pt idx="12">
                <c:v>17.620000000000005</c:v>
              </c:pt>
              <c:pt idx="13">
                <c:v>13.75</c:v>
              </c:pt>
              <c:pt idx="14">
                <c:v>24.279999999999973</c:v>
              </c:pt>
            </c:numLit>
          </c:val>
          <c:smooth val="0"/>
          <c:extLst>
            <c:ext xmlns:c16="http://schemas.microsoft.com/office/drawing/2014/chart" uri="{C3380CC4-5D6E-409C-BE32-E72D297353CC}">
              <c16:uniqueId val="{00000002-B4E4-4E32-821A-67F00DBDE45F}"/>
            </c:ext>
          </c:extLst>
        </c:ser>
        <c:ser>
          <c:idx val="3"/>
          <c:order val="3"/>
          <c:tx>
            <c:v>Avg.KR '25 25%</c:v>
          </c:tx>
          <c:spPr>
            <a:ln w="12700" cap="rnd">
              <a:solidFill>
                <a:srgbClr val="C00000"/>
              </a:solidFill>
              <a:prstDash val="dash"/>
              <a:round/>
            </a:ln>
            <a:effectLst/>
          </c:spPr>
          <c:marker>
            <c:symbol val="none"/>
          </c:marker>
          <c:cat>
            <c:strLit>
              <c:ptCount val="1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strLit>
          </c:cat>
          <c:val>
            <c:numLit>
              <c:formatCode>General</c:formatCode>
              <c:ptCount val="15"/>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numLit>
          </c:val>
          <c:smooth val="0"/>
          <c:extLst>
            <c:ext xmlns:c16="http://schemas.microsoft.com/office/drawing/2014/chart" uri="{C3380CC4-5D6E-409C-BE32-E72D297353CC}">
              <c16:uniqueId val="{00000003-B4E4-4E32-821A-67F00DBDE45F}"/>
            </c:ext>
          </c:extLst>
        </c:ser>
        <c:ser>
          <c:idx val="4"/>
          <c:order val="4"/>
          <c:tx>
            <c:v>Avg.KR '25 75%</c:v>
          </c:tx>
          <c:spPr>
            <a:ln w="12700" cap="rnd">
              <a:solidFill>
                <a:srgbClr val="C00000"/>
              </a:solidFill>
              <a:prstDash val="dash"/>
              <a:round/>
            </a:ln>
            <a:effectLst/>
          </c:spPr>
          <c:marker>
            <c:symbol val="none"/>
          </c:marker>
          <c:cat>
            <c:strLit>
              <c:ptCount val="1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strLit>
          </c:cat>
          <c:val>
            <c:numLit>
              <c:formatCode>General</c:formatCode>
              <c:ptCount val="15"/>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numLit>
          </c:val>
          <c:smooth val="0"/>
          <c:extLst>
            <c:ext xmlns:c16="http://schemas.microsoft.com/office/drawing/2014/chart" uri="{C3380CC4-5D6E-409C-BE32-E72D297353CC}">
              <c16:uniqueId val="{00000004-B4E4-4E32-821A-67F00DBDE45F}"/>
            </c:ext>
          </c:extLst>
        </c:ser>
        <c:ser>
          <c:idx val="5"/>
          <c:order val="5"/>
          <c:tx>
            <c:v>Avg.SP '25 25%</c:v>
          </c:tx>
          <c:spPr>
            <a:ln w="9525" cap="rnd">
              <a:solidFill>
                <a:schemeClr val="accent6">
                  <a:lumMod val="75000"/>
                </a:schemeClr>
              </a:solidFill>
              <a:prstDash val="sysDash"/>
              <a:round/>
            </a:ln>
            <a:effectLst/>
          </c:spPr>
          <c:marker>
            <c:symbol val="none"/>
          </c:marker>
          <c:cat>
            <c:strLit>
              <c:ptCount val="1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strLit>
          </c:cat>
          <c:val>
            <c:numLit>
              <c:formatCode>General</c:formatCode>
              <c:ptCount val="15"/>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numLit>
          </c:val>
          <c:smooth val="0"/>
          <c:extLst>
            <c:ext xmlns:c16="http://schemas.microsoft.com/office/drawing/2014/chart" uri="{C3380CC4-5D6E-409C-BE32-E72D297353CC}">
              <c16:uniqueId val="{00000005-B4E4-4E32-821A-67F00DBDE45F}"/>
            </c:ext>
          </c:extLst>
        </c:ser>
        <c:ser>
          <c:idx val="6"/>
          <c:order val="6"/>
          <c:tx>
            <c:v>Avg.SP '25 75%</c:v>
          </c:tx>
          <c:spPr>
            <a:ln w="9525" cap="rnd">
              <a:solidFill>
                <a:schemeClr val="accent6">
                  <a:lumMod val="75000"/>
                </a:schemeClr>
              </a:solidFill>
              <a:prstDash val="sysDash"/>
              <a:round/>
            </a:ln>
            <a:effectLst/>
          </c:spPr>
          <c:marker>
            <c:symbol val="none"/>
          </c:marker>
          <c:cat>
            <c:strLit>
              <c:ptCount val="1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strLit>
          </c:cat>
          <c:val>
            <c:numLit>
              <c:formatCode>General</c:formatCode>
              <c:ptCount val="15"/>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numLit>
          </c:val>
          <c:smooth val="0"/>
          <c:extLst>
            <c:ext xmlns:c16="http://schemas.microsoft.com/office/drawing/2014/chart" uri="{C3380CC4-5D6E-409C-BE32-E72D297353CC}">
              <c16:uniqueId val="{00000006-B4E4-4E32-821A-67F00DBDE45F}"/>
            </c:ext>
          </c:extLst>
        </c:ser>
        <c:ser>
          <c:idx val="7"/>
          <c:order val="7"/>
          <c:tx>
            <c:v>Avg. JP Spread</c:v>
          </c:tx>
          <c:spPr>
            <a:ln w="12700" cap="rnd">
              <a:solidFill>
                <a:schemeClr val="tx1">
                  <a:lumMod val="75000"/>
                  <a:lumOff val="25000"/>
                </a:schemeClr>
              </a:solidFill>
              <a:round/>
            </a:ln>
            <a:effectLst/>
          </c:spPr>
          <c:marker>
            <c:symbol val="none"/>
          </c:marker>
          <c:cat>
            <c:strLit>
              <c:ptCount val="15"/>
              <c:pt idx="0">
                <c:v>2026년 3월 16 Mar</c:v>
              </c:pt>
              <c:pt idx="1">
                <c:v>2026년 3월 17 Mar</c:v>
              </c:pt>
              <c:pt idx="2">
                <c:v>2026년 3월 18 Mar</c:v>
              </c:pt>
              <c:pt idx="3">
                <c:v>2026년 3월 19 Mar</c:v>
              </c:pt>
              <c:pt idx="4">
                <c:v>2026년 3월 20 Mar</c:v>
              </c:pt>
              <c:pt idx="5">
                <c:v>2026년 3월 23 Mar</c:v>
              </c:pt>
              <c:pt idx="6">
                <c:v>2026년 3월 24 Mar</c:v>
              </c:pt>
              <c:pt idx="7">
                <c:v>2026년 3월 25 Mar</c:v>
              </c:pt>
              <c:pt idx="8">
                <c:v>2026년 3월 26 Mar</c:v>
              </c:pt>
              <c:pt idx="9">
                <c:v>2026년 3월 27 Mar</c:v>
              </c:pt>
              <c:pt idx="10">
                <c:v>2026년 3월 30 Mar</c:v>
              </c:pt>
              <c:pt idx="11">
                <c:v>2026년 3월 31 Mar</c:v>
              </c:pt>
              <c:pt idx="12">
                <c:v>2026년 4월 01 Apr</c:v>
              </c:pt>
              <c:pt idx="13">
                <c:v>2026년 4월 02 Apr</c:v>
              </c:pt>
              <c:pt idx="14">
                <c:v>2026년 4월 06 Apr</c:v>
              </c:pt>
            </c:strLit>
          </c:cat>
          <c:val>
            <c:numLit>
              <c:formatCode>General</c:formatCode>
              <c:ptCount val="15"/>
              <c:pt idx="0">
                <c:v>102.10000000000002</c:v>
              </c:pt>
              <c:pt idx="1">
                <c:v>102.22000000000003</c:v>
              </c:pt>
              <c:pt idx="2">
                <c:v>80.669999999999959</c:v>
              </c:pt>
              <c:pt idx="3">
                <c:v>76.519999999999982</c:v>
              </c:pt>
              <c:pt idx="4">
                <c:v>76.909999999999968</c:v>
              </c:pt>
              <c:pt idx="5">
                <c:v>78.440000000000055</c:v>
              </c:pt>
              <c:pt idx="6">
                <c:v>71.720000000000027</c:v>
              </c:pt>
              <c:pt idx="7">
                <c:v>86.190000000000055</c:v>
              </c:pt>
              <c:pt idx="8">
                <c:v>93.860000000000014</c:v>
              </c:pt>
              <c:pt idx="9">
                <c:v>63.769999999999982</c:v>
              </c:pt>
              <c:pt idx="10">
                <c:v>64.5</c:v>
              </c:pt>
              <c:pt idx="11">
                <c:v>73.860000000000014</c:v>
              </c:pt>
              <c:pt idx="12">
                <c:v>84.62</c:v>
              </c:pt>
              <c:pt idx="13">
                <c:v>93.75</c:v>
              </c:pt>
              <c:pt idx="14">
                <c:v>107.27999999999997</c:v>
              </c:pt>
            </c:numLit>
          </c:val>
          <c:smooth val="0"/>
          <c:extLst>
            <c:ext xmlns:c16="http://schemas.microsoft.com/office/drawing/2014/chart" uri="{C3380CC4-5D6E-409C-BE32-E72D297353CC}">
              <c16:uniqueId val="{00000007-B4E4-4E32-821A-67F00DBDE45F}"/>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409]d&quot;-&quot;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ayout>
        <c:manualLayout>
          <c:xMode val="edge"/>
          <c:yMode val="edge"/>
          <c:x val="6.5702359371290195E-2"/>
          <c:y val="5.1862926096983418E-2"/>
          <c:w val="0.91304378092567584"/>
          <c:h val="7.3819922174609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'26.04.06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'26.04.06 보고자료 (수정중)'!$C$22:$F$22</c:f>
              <c:strCache>
                <c:ptCount val="4"/>
                <c:pt idx="0">
                  <c:v>3/23</c:v>
                </c:pt>
                <c:pt idx="1">
                  <c:v>3/30
(April)</c:v>
                </c:pt>
                <c:pt idx="2">
                  <c:v>4/6</c:v>
                </c:pt>
                <c:pt idx="3">
                  <c:v>This week assumption </c:v>
                </c:pt>
              </c:strCache>
            </c:strRef>
          </c:cat>
          <c:val>
            <c:numRef>
              <c:f>'26.04.06 보고자료 (수정중)'!$C$23:$F$23</c:f>
              <c:numCache>
                <c:formatCode>General</c:formatCode>
                <c:ptCount val="4"/>
                <c:pt idx="0">
                  <c:v>150</c:v>
                </c:pt>
                <c:pt idx="1">
                  <c:v>130</c:v>
                </c:pt>
                <c:pt idx="2">
                  <c:v>130</c:v>
                </c:pt>
                <c:pt idx="3">
                  <c:v>130</c:v>
                </c:pt>
              </c:numCache>
            </c:numRef>
          </c:val>
          <c:smooth val="0"/>
          <c:extLst>
            <c:ext xmlns:c16="http://schemas.microsoft.com/office/drawing/2014/chart" uri="{C3380CC4-5D6E-409C-BE32-E72D297353CC}">
              <c16:uniqueId val="{00000000-2F68-4EA7-AA98-54E8B50ECE91}"/>
            </c:ext>
          </c:extLst>
        </c:ser>
        <c:ser>
          <c:idx val="1"/>
          <c:order val="1"/>
          <c:tx>
            <c:strRef>
              <c:f>'26.04.06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'26.04.06 보고자료 (수정중)'!$C$22:$F$22</c:f>
              <c:strCache>
                <c:ptCount val="4"/>
                <c:pt idx="0">
                  <c:v>3/23</c:v>
                </c:pt>
                <c:pt idx="1">
                  <c:v>3/30
(April)</c:v>
                </c:pt>
                <c:pt idx="2">
                  <c:v>4/6</c:v>
                </c:pt>
                <c:pt idx="3">
                  <c:v>This week assumption </c:v>
                </c:pt>
              </c:strCache>
            </c:strRef>
          </c:cat>
          <c:val>
            <c:numRef>
              <c:f>'26.04.06 보고자료 (수정중)'!$C$24:$F$24</c:f>
              <c:numCache>
                <c:formatCode>General</c:formatCode>
                <c:ptCount val="4"/>
                <c:pt idx="0">
                  <c:v>200</c:v>
                </c:pt>
                <c:pt idx="1">
                  <c:v>170</c:v>
                </c:pt>
                <c:pt idx="2">
                  <c:v>180</c:v>
                </c:pt>
                <c:pt idx="3">
                  <c:v>160</c:v>
                </c:pt>
              </c:numCache>
            </c:numRef>
          </c:val>
          <c:smooth val="0"/>
          <c:extLst>
            <c:ext xmlns:c16="http://schemas.microsoft.com/office/drawing/2014/chart" uri="{C3380CC4-5D6E-409C-BE32-E72D297353CC}">
              <c16:uniqueId val="{00000001-2F68-4EA7-AA98-54E8B50ECE91}"/>
            </c:ext>
          </c:extLst>
        </c:ser>
        <c:ser>
          <c:idx val="2"/>
          <c:order val="2"/>
          <c:tx>
            <c:strRef>
              <c:f>'26.04.06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'26.04.06 보고자료 (수정중)'!$C$22:$F$22</c:f>
              <c:strCache>
                <c:ptCount val="4"/>
                <c:pt idx="0">
                  <c:v>3/23</c:v>
                </c:pt>
                <c:pt idx="1">
                  <c:v>3/30
(April)</c:v>
                </c:pt>
                <c:pt idx="2">
                  <c:v>4/6</c:v>
                </c:pt>
                <c:pt idx="3">
                  <c:v>This week assumption </c:v>
                </c:pt>
              </c:strCache>
            </c:strRef>
          </c:cat>
          <c:val>
            <c:numRef>
              <c:f>'26.04.06 보고자료 (수정중)'!$C$25:$F$25</c:f>
              <c:numCache>
                <c:formatCode>General</c:formatCode>
                <c:ptCount val="4"/>
                <c:pt idx="0">
                  <c:v>150</c:v>
                </c:pt>
                <c:pt idx="1">
                  <c:v>130</c:v>
                </c:pt>
                <c:pt idx="2">
                  <c:v>140</c:v>
                </c:pt>
                <c:pt idx="3">
                  <c:v>130</c:v>
                </c:pt>
              </c:numCache>
            </c:numRef>
          </c:val>
          <c:smooth val="0"/>
          <c:extLst>
            <c:ext xmlns:c16="http://schemas.microsoft.com/office/drawing/2014/chart" uri="{C3380CC4-5D6E-409C-BE32-E72D297353CC}">
              <c16:uniqueId val="{00000002-2F68-4EA7-AA98-54E8B50ECE91}"/>
            </c:ext>
          </c:extLst>
        </c:ser>
        <c:ser>
          <c:idx val="3"/>
          <c:order val="3"/>
          <c:tx>
            <c:strRef>
              <c:f>'26.04.06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'26.04.06 보고자료 (수정중)'!$C$22:$F$22</c:f>
              <c:strCache>
                <c:ptCount val="4"/>
                <c:pt idx="0">
                  <c:v>3/23</c:v>
                </c:pt>
                <c:pt idx="1">
                  <c:v>3/30
(April)</c:v>
                </c:pt>
                <c:pt idx="2">
                  <c:v>4/6</c:v>
                </c:pt>
                <c:pt idx="3">
                  <c:v>This week assumption </c:v>
                </c:pt>
              </c:strCache>
            </c:strRef>
          </c:cat>
          <c:val>
            <c:numRef>
              <c:f>'26.04.06 보고자료 (수정중)'!$C$26:$F$26</c:f>
              <c:numCache>
                <c:formatCode>General</c:formatCode>
                <c:ptCount val="4"/>
                <c:pt idx="0">
                  <c:v>350</c:v>
                </c:pt>
              </c:numCache>
            </c:numRef>
          </c:val>
          <c:smooth val="0"/>
          <c:extLst>
            <c:ext xmlns:c16="http://schemas.microsoft.com/office/drawing/2014/chart" uri="{C3380CC4-5D6E-409C-BE32-E72D297353CC}">
              <c16:uniqueId val="{00000003-2F68-4EA7-AA98-54E8B50ECE91}"/>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049831044197609E-2"/>
          <c:y val="0.12279519387084996"/>
          <c:w val="0.917466005242764"/>
          <c:h val="0.81085097670393036"/>
        </c:manualLayout>
      </c:layout>
      <c:lineChart>
        <c:grouping val="standard"/>
        <c:varyColors val="0"/>
        <c:ser>
          <c:idx val="0"/>
          <c:order val="0"/>
          <c:tx>
            <c:strRef>
              <c:f>'26.04.06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'26.04.06 보고자료 (수정중)'!$P$22:$R$22</c:f>
              <c:numCache>
                <c:formatCode>m"/"d;@</c:formatCode>
                <c:ptCount val="3"/>
                <c:pt idx="0">
                  <c:v>46104</c:v>
                </c:pt>
                <c:pt idx="1">
                  <c:v>46111</c:v>
                </c:pt>
                <c:pt idx="2">
                  <c:v>46118</c:v>
                </c:pt>
              </c:numCache>
            </c:numRef>
          </c:cat>
          <c:val>
            <c:numRef>
              <c:f>'26.04.06 보고자료 (수정중)'!$P$23:$R$23</c:f>
              <c:numCache>
                <c:formatCode>General</c:formatCode>
                <c:ptCount val="3"/>
                <c:pt idx="0">
                  <c:v>1150</c:v>
                </c:pt>
                <c:pt idx="1">
                  <c:v>1050</c:v>
                </c:pt>
                <c:pt idx="2">
                  <c:v>980</c:v>
                </c:pt>
              </c:numCache>
            </c:numRef>
          </c:val>
          <c:smooth val="0"/>
          <c:extLst>
            <c:ext xmlns:c16="http://schemas.microsoft.com/office/drawing/2014/chart" uri="{C3380CC4-5D6E-409C-BE32-E72D297353CC}">
              <c16:uniqueId val="{00000000-2EB1-41B6-A34C-1B3B909D69F5}"/>
            </c:ext>
          </c:extLst>
        </c:ser>
        <c:ser>
          <c:idx val="1"/>
          <c:order val="1"/>
          <c:tx>
            <c:strRef>
              <c:f>'26.04.06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'26.04.06 보고자료 (수정중)'!$P$22:$R$22</c:f>
              <c:numCache>
                <c:formatCode>m"/"d;@</c:formatCode>
                <c:ptCount val="3"/>
                <c:pt idx="0">
                  <c:v>46104</c:v>
                </c:pt>
                <c:pt idx="1">
                  <c:v>46111</c:v>
                </c:pt>
                <c:pt idx="2">
                  <c:v>46118</c:v>
                </c:pt>
              </c:numCache>
            </c:numRef>
          </c:cat>
          <c:val>
            <c:numRef>
              <c:f>'26.04.06 보고자료 (수정중)'!$P$24:$R$24</c:f>
              <c:numCache>
                <c:formatCode>General</c:formatCode>
                <c:ptCount val="3"/>
                <c:pt idx="0">
                  <c:v>1017</c:v>
                </c:pt>
                <c:pt idx="1">
                  <c:v>905</c:v>
                </c:pt>
                <c:pt idx="2">
                  <c:v>873</c:v>
                </c:pt>
              </c:numCache>
            </c:numRef>
          </c:val>
          <c:smooth val="0"/>
          <c:extLst>
            <c:ext xmlns:c16="http://schemas.microsoft.com/office/drawing/2014/chart" uri="{C3380CC4-5D6E-409C-BE32-E72D297353CC}">
              <c16:uniqueId val="{00000001-2EB1-41B6-A34C-1B3B909D69F5}"/>
            </c:ext>
          </c:extLst>
        </c:ser>
        <c:ser>
          <c:idx val="2"/>
          <c:order val="2"/>
          <c:tx>
            <c:strRef>
              <c:f>'26.04.06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'26.04.06 보고자료 (수정중)'!$P$22:$R$22</c:f>
              <c:numCache>
                <c:formatCode>m"/"d;@</c:formatCode>
                <c:ptCount val="3"/>
                <c:pt idx="0">
                  <c:v>46104</c:v>
                </c:pt>
                <c:pt idx="1">
                  <c:v>46111</c:v>
                </c:pt>
                <c:pt idx="2">
                  <c:v>46118</c:v>
                </c:pt>
              </c:numCache>
            </c:numRef>
          </c:cat>
          <c:val>
            <c:numRef>
              <c:f>'26.04.06 보고자료 (수정중)'!$P$25:$R$25</c:f>
              <c:numCache>
                <c:formatCode>General</c:formatCode>
                <c:ptCount val="3"/>
                <c:pt idx="0">
                  <c:v>1250</c:v>
                </c:pt>
                <c:pt idx="1">
                  <c:v>1150</c:v>
                </c:pt>
                <c:pt idx="2">
                  <c:v>1128</c:v>
                </c:pt>
              </c:numCache>
            </c:numRef>
          </c:val>
          <c:smooth val="0"/>
          <c:extLst>
            <c:ext xmlns:c16="http://schemas.microsoft.com/office/drawing/2014/chart" uri="{C3380CC4-5D6E-409C-BE32-E72D297353CC}">
              <c16:uniqueId val="{00000002-2EB1-41B6-A34C-1B3B909D69F5}"/>
            </c:ext>
          </c:extLst>
        </c:ser>
        <c:ser>
          <c:idx val="3"/>
          <c:order val="3"/>
          <c:tx>
            <c:strRef>
              <c:f>'26.04.06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'26.04.06 보고자료 (수정중)'!$P$22:$R$22</c:f>
              <c:numCache>
                <c:formatCode>m"/"d;@</c:formatCode>
                <c:ptCount val="3"/>
                <c:pt idx="0">
                  <c:v>46104</c:v>
                </c:pt>
                <c:pt idx="1">
                  <c:v>46111</c:v>
                </c:pt>
                <c:pt idx="2">
                  <c:v>46118</c:v>
                </c:pt>
              </c:numCache>
            </c:numRef>
          </c:cat>
          <c:val>
            <c:numRef>
              <c:f>'26.04.06 보고자료 (수정중)'!$P$26:$R$26</c:f>
              <c:numCache>
                <c:formatCode>General</c:formatCode>
                <c:ptCount val="3"/>
                <c:pt idx="0">
                  <c:v>980</c:v>
                </c:pt>
                <c:pt idx="1">
                  <c:v>870</c:v>
                </c:pt>
                <c:pt idx="2">
                  <c:v>875</c:v>
                </c:pt>
              </c:numCache>
            </c:numRef>
          </c:val>
          <c:smooth val="0"/>
          <c:extLst>
            <c:ext xmlns:c16="http://schemas.microsoft.com/office/drawing/2014/chart" uri="{C3380CC4-5D6E-409C-BE32-E72D297353CC}">
              <c16:uniqueId val="{00000003-2EB1-41B6-A34C-1B3B909D69F5}"/>
            </c:ext>
          </c:extLst>
        </c:ser>
        <c:ser>
          <c:idx val="4"/>
          <c:order val="4"/>
          <c:tx>
            <c:strRef>
              <c:f>'26.04.06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'26.04.06 보고자료 (수정중)'!$P$22:$R$22</c:f>
              <c:numCache>
                <c:formatCode>m"/"d;@</c:formatCode>
                <c:ptCount val="3"/>
                <c:pt idx="0">
                  <c:v>46104</c:v>
                </c:pt>
                <c:pt idx="1">
                  <c:v>46111</c:v>
                </c:pt>
                <c:pt idx="2">
                  <c:v>46118</c:v>
                </c:pt>
              </c:numCache>
            </c:numRef>
          </c:cat>
          <c:val>
            <c:numRef>
              <c:f>'26.04.06 보고자료 (수정중)'!$P$27:$R$27</c:f>
              <c:numCache>
                <c:formatCode>General</c:formatCode>
                <c:ptCount val="3"/>
              </c:numCache>
            </c:numRef>
          </c:val>
          <c:smooth val="0"/>
          <c:extLst>
            <c:ext xmlns:c16="http://schemas.microsoft.com/office/drawing/2014/chart" uri="{C3380CC4-5D6E-409C-BE32-E72D297353CC}">
              <c16:uniqueId val="{00000004-2EB1-41B6-A34C-1B3B909D69F5}"/>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8.5926978989994837E-2"/>
          <c:y val="0.77678594504591691"/>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19611539941131E-2"/>
          <c:y val="0.13517881926352179"/>
          <c:w val="0.93053868916580484"/>
          <c:h val="0.60375739289602093"/>
        </c:manualLayout>
      </c:layout>
      <c:lineChart>
        <c:grouping val="standard"/>
        <c:varyColors val="0"/>
        <c:ser>
          <c:idx val="0"/>
          <c:order val="0"/>
          <c:tx>
            <c:v>Avg.KR</c:v>
          </c:tx>
          <c:spPr>
            <a:ln w="28575" cap="rnd">
              <a:solidFill>
                <a:srgbClr val="C00000"/>
              </a:solidFill>
              <a:round/>
            </a:ln>
            <a:effectLst/>
          </c:spPr>
          <c:marker>
            <c:symbol val="none"/>
          </c:marker>
          <c:dLbls>
            <c:dLbl>
              <c:idx val="7"/>
              <c:layout>
                <c:manualLayout>
                  <c:x val="-2.2688754357610499E-2"/>
                  <c:y val="-2.6294413230851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1C4-4E5F-B752-DA7D65A609D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2026년 3월 02 Mar</c:v>
              </c:pt>
              <c:pt idx="1">
                <c:v>2026년 3월 03 Mar</c:v>
              </c:pt>
              <c:pt idx="2">
                <c:v>2026년 3월 04 Mar</c:v>
              </c:pt>
              <c:pt idx="3">
                <c:v>2026년 3월 05 Mar</c:v>
              </c:pt>
              <c:pt idx="4">
                <c:v>2026년 3월 06 Mar</c:v>
              </c:pt>
              <c:pt idx="5">
                <c:v>2026년 3월 09 Mar</c:v>
              </c:pt>
              <c:pt idx="6">
                <c:v>2026년 3월 10 Mar</c:v>
              </c:pt>
              <c:pt idx="7">
                <c:v>2026년 3월 11 Mar</c:v>
              </c:pt>
              <c:pt idx="8">
                <c:v>2026년 3월 12 Mar</c:v>
              </c:pt>
              <c:pt idx="9">
                <c:v>2026년 3월 13 Mar</c:v>
              </c:pt>
              <c:pt idx="10">
                <c:v>2026년 3월 16 Mar</c:v>
              </c:pt>
              <c:pt idx="11">
                <c:v>2026년 3월 17 Mar</c:v>
              </c:pt>
              <c:pt idx="12">
                <c:v>2026년 3월 18 Mar</c:v>
              </c:pt>
              <c:pt idx="13">
                <c:v>2026년 3월 19 Mar</c:v>
              </c:pt>
              <c:pt idx="14">
                <c:v>2026년 3월 20 Mar</c:v>
              </c:pt>
              <c:pt idx="15">
                <c:v>2026년 3월 23 Mar</c:v>
              </c:pt>
            </c:strLit>
          </c:cat>
          <c:val>
            <c:numLit>
              <c:formatCode>General</c:formatCode>
              <c:ptCount val="16"/>
              <c:pt idx="0">
                <c:v>44.120000000000005</c:v>
              </c:pt>
              <c:pt idx="1">
                <c:v>89.960000000000036</c:v>
              </c:pt>
              <c:pt idx="2">
                <c:v>104.35000000000002</c:v>
              </c:pt>
              <c:pt idx="3">
                <c:v>136.84000000000003</c:v>
              </c:pt>
              <c:pt idx="4">
                <c:v>230.90999999999997</c:v>
              </c:pt>
              <c:pt idx="5">
                <c:v>359.85</c:v>
              </c:pt>
              <c:pt idx="6">
                <c:v>454.08000000000004</c:v>
              </c:pt>
              <c:pt idx="7">
                <c:v>568.04</c:v>
              </c:pt>
              <c:pt idx="8">
                <c:v>566.22</c:v>
              </c:pt>
              <c:pt idx="9">
                <c:v>518.99</c:v>
              </c:pt>
              <c:pt idx="10">
                <c:v>395.1</c:v>
              </c:pt>
              <c:pt idx="11">
                <c:v>366.22</c:v>
              </c:pt>
              <c:pt idx="12">
                <c:v>353.66999999999996</c:v>
              </c:pt>
              <c:pt idx="13">
                <c:v>236.51999999999998</c:v>
              </c:pt>
              <c:pt idx="14">
                <c:v>220.90999999999997</c:v>
              </c:pt>
              <c:pt idx="15">
                <c:v>198.44000000000005</c:v>
              </c:pt>
            </c:numLit>
          </c:val>
          <c:smooth val="0"/>
          <c:extLst>
            <c:ext xmlns:c16="http://schemas.microsoft.com/office/drawing/2014/chart" uri="{C3380CC4-5D6E-409C-BE32-E72D297353CC}">
              <c16:uniqueId val="{00000000-21C4-4E5F-B752-DA7D65A609DE}"/>
            </c:ext>
          </c:extLst>
        </c:ser>
        <c:ser>
          <c:idx val="1"/>
          <c:order val="1"/>
          <c:tx>
            <c:v>Avg.SP</c:v>
          </c:tx>
          <c:spPr>
            <a:ln w="9525" cap="rnd">
              <a:solidFill>
                <a:schemeClr val="accent6">
                  <a:lumMod val="75000"/>
                </a:schemeClr>
              </a:solidFill>
              <a:round/>
            </a:ln>
            <a:effectLst/>
          </c:spPr>
          <c:marker>
            <c:symbol val="none"/>
          </c:marker>
          <c:cat>
            <c:strLit>
              <c:ptCount val="16"/>
              <c:pt idx="0">
                <c:v>2026년 3월 02 Mar</c:v>
              </c:pt>
              <c:pt idx="1">
                <c:v>2026년 3월 03 Mar</c:v>
              </c:pt>
              <c:pt idx="2">
                <c:v>2026년 3월 04 Mar</c:v>
              </c:pt>
              <c:pt idx="3">
                <c:v>2026년 3월 05 Mar</c:v>
              </c:pt>
              <c:pt idx="4">
                <c:v>2026년 3월 06 Mar</c:v>
              </c:pt>
              <c:pt idx="5">
                <c:v>2026년 3월 09 Mar</c:v>
              </c:pt>
              <c:pt idx="6">
                <c:v>2026년 3월 10 Mar</c:v>
              </c:pt>
              <c:pt idx="7">
                <c:v>2026년 3월 11 Mar</c:v>
              </c:pt>
              <c:pt idx="8">
                <c:v>2026년 3월 12 Mar</c:v>
              </c:pt>
              <c:pt idx="9">
                <c:v>2026년 3월 13 Mar</c:v>
              </c:pt>
              <c:pt idx="10">
                <c:v>2026년 3월 16 Mar</c:v>
              </c:pt>
              <c:pt idx="11">
                <c:v>2026년 3월 17 Mar</c:v>
              </c:pt>
              <c:pt idx="12">
                <c:v>2026년 3월 18 Mar</c:v>
              </c:pt>
              <c:pt idx="13">
                <c:v>2026년 3월 19 Mar</c:v>
              </c:pt>
              <c:pt idx="14">
                <c:v>2026년 3월 20 Mar</c:v>
              </c:pt>
              <c:pt idx="15">
                <c:v>2026년 3월 23 Mar</c:v>
              </c:pt>
            </c:strLit>
          </c:cat>
          <c:val>
            <c:numLit>
              <c:formatCode>General</c:formatCode>
              <c:ptCount val="16"/>
              <c:pt idx="0">
                <c:v>16.620000000000005</c:v>
              </c:pt>
              <c:pt idx="1">
                <c:v>27.960000000000036</c:v>
              </c:pt>
              <c:pt idx="2">
                <c:v>39.350000000000023</c:v>
              </c:pt>
              <c:pt idx="3">
                <c:v>49.840000000000032</c:v>
              </c:pt>
              <c:pt idx="4">
                <c:v>85.909999999999968</c:v>
              </c:pt>
              <c:pt idx="5">
                <c:v>209.85000000000002</c:v>
              </c:pt>
              <c:pt idx="6">
                <c:v>214.08000000000004</c:v>
              </c:pt>
              <c:pt idx="7">
                <c:v>208.03999999999996</c:v>
              </c:pt>
              <c:pt idx="8">
                <c:v>205.47000000000003</c:v>
              </c:pt>
              <c:pt idx="9">
                <c:v>201.99</c:v>
              </c:pt>
              <c:pt idx="10">
                <c:v>165.10000000000002</c:v>
              </c:pt>
              <c:pt idx="11">
                <c:v>76.220000000000027</c:v>
              </c:pt>
              <c:pt idx="12">
                <c:v>53.669999999999959</c:v>
              </c:pt>
              <c:pt idx="13">
                <c:v>46.519999999999982</c:v>
              </c:pt>
              <c:pt idx="14">
                <c:v>27.909999999999968</c:v>
              </c:pt>
              <c:pt idx="15">
                <c:v>23.440000000000055</c:v>
              </c:pt>
            </c:numLit>
          </c:val>
          <c:smooth val="0"/>
          <c:extLst>
            <c:ext xmlns:c16="http://schemas.microsoft.com/office/drawing/2014/chart" uri="{C3380CC4-5D6E-409C-BE32-E72D297353CC}">
              <c16:uniqueId val="{00000001-21C4-4E5F-B752-DA7D65A609DE}"/>
            </c:ext>
          </c:extLst>
        </c:ser>
        <c:ser>
          <c:idx val="2"/>
          <c:order val="2"/>
          <c:tx>
            <c:v>Avg.ZS</c:v>
          </c:tx>
          <c:spPr>
            <a:ln w="9525" cap="rnd">
              <a:solidFill>
                <a:schemeClr val="accent1">
                  <a:lumMod val="75000"/>
                </a:schemeClr>
              </a:solidFill>
              <a:round/>
            </a:ln>
            <a:effectLst/>
          </c:spPr>
          <c:marker>
            <c:symbol val="none"/>
          </c:marker>
          <c:cat>
            <c:strLit>
              <c:ptCount val="16"/>
              <c:pt idx="0">
                <c:v>2026년 3월 02 Mar</c:v>
              </c:pt>
              <c:pt idx="1">
                <c:v>2026년 3월 03 Mar</c:v>
              </c:pt>
              <c:pt idx="2">
                <c:v>2026년 3월 04 Mar</c:v>
              </c:pt>
              <c:pt idx="3">
                <c:v>2026년 3월 05 Mar</c:v>
              </c:pt>
              <c:pt idx="4">
                <c:v>2026년 3월 06 Mar</c:v>
              </c:pt>
              <c:pt idx="5">
                <c:v>2026년 3월 09 Mar</c:v>
              </c:pt>
              <c:pt idx="6">
                <c:v>2026년 3월 10 Mar</c:v>
              </c:pt>
              <c:pt idx="7">
                <c:v>2026년 3월 11 Mar</c:v>
              </c:pt>
              <c:pt idx="8">
                <c:v>2026년 3월 12 Mar</c:v>
              </c:pt>
              <c:pt idx="9">
                <c:v>2026년 3월 13 Mar</c:v>
              </c:pt>
              <c:pt idx="10">
                <c:v>2026년 3월 16 Mar</c:v>
              </c:pt>
              <c:pt idx="11">
                <c:v>2026년 3월 17 Mar</c:v>
              </c:pt>
              <c:pt idx="12">
                <c:v>2026년 3월 18 Mar</c:v>
              </c:pt>
              <c:pt idx="13">
                <c:v>2026년 3월 19 Mar</c:v>
              </c:pt>
              <c:pt idx="14">
                <c:v>2026년 3월 20 Mar</c:v>
              </c:pt>
              <c:pt idx="15">
                <c:v>2026년 3월 23 Mar</c:v>
              </c:pt>
            </c:strLit>
          </c:cat>
          <c:val>
            <c:numLit>
              <c:formatCode>General</c:formatCode>
              <c:ptCount val="16"/>
              <c:pt idx="0">
                <c:v>16.620000000000005</c:v>
              </c:pt>
              <c:pt idx="1">
                <c:v>19.960000000000036</c:v>
              </c:pt>
              <c:pt idx="2">
                <c:v>24.350000000000023</c:v>
              </c:pt>
              <c:pt idx="3">
                <c:v>46.840000000000032</c:v>
              </c:pt>
              <c:pt idx="4">
                <c:v>85.909999999999968</c:v>
              </c:pt>
              <c:pt idx="5">
                <c:v>134.85000000000002</c:v>
              </c:pt>
              <c:pt idx="6">
                <c:v>274.08000000000004</c:v>
              </c:pt>
              <c:pt idx="7">
                <c:v>228.03999999999996</c:v>
              </c:pt>
              <c:pt idx="8">
                <c:v>192.47000000000003</c:v>
              </c:pt>
              <c:pt idx="9">
                <c:v>128.99</c:v>
              </c:pt>
              <c:pt idx="10">
                <c:v>125.10000000000002</c:v>
              </c:pt>
              <c:pt idx="11">
                <c:v>106.22000000000003</c:v>
              </c:pt>
              <c:pt idx="12">
                <c:v>78.669999999999959</c:v>
              </c:pt>
              <c:pt idx="13">
                <c:v>56.519999999999982</c:v>
              </c:pt>
              <c:pt idx="14">
                <c:v>70.909999999999968</c:v>
              </c:pt>
              <c:pt idx="15">
                <c:v>38.440000000000055</c:v>
              </c:pt>
            </c:numLit>
          </c:val>
          <c:smooth val="0"/>
          <c:extLst>
            <c:ext xmlns:c16="http://schemas.microsoft.com/office/drawing/2014/chart" uri="{C3380CC4-5D6E-409C-BE32-E72D297353CC}">
              <c16:uniqueId val="{00000002-21C4-4E5F-B752-DA7D65A609DE}"/>
            </c:ext>
          </c:extLst>
        </c:ser>
        <c:ser>
          <c:idx val="3"/>
          <c:order val="3"/>
          <c:tx>
            <c:v>Avg.KR '25 25%</c:v>
          </c:tx>
          <c:spPr>
            <a:ln w="12700" cap="rnd">
              <a:solidFill>
                <a:srgbClr val="C00000"/>
              </a:solidFill>
              <a:prstDash val="dash"/>
              <a:round/>
            </a:ln>
            <a:effectLst/>
          </c:spPr>
          <c:marker>
            <c:symbol val="none"/>
          </c:marker>
          <c:cat>
            <c:strLit>
              <c:ptCount val="16"/>
              <c:pt idx="0">
                <c:v>2026년 3월 02 Mar</c:v>
              </c:pt>
              <c:pt idx="1">
                <c:v>2026년 3월 03 Mar</c:v>
              </c:pt>
              <c:pt idx="2">
                <c:v>2026년 3월 04 Mar</c:v>
              </c:pt>
              <c:pt idx="3">
                <c:v>2026년 3월 05 Mar</c:v>
              </c:pt>
              <c:pt idx="4">
                <c:v>2026년 3월 06 Mar</c:v>
              </c:pt>
              <c:pt idx="5">
                <c:v>2026년 3월 09 Mar</c:v>
              </c:pt>
              <c:pt idx="6">
                <c:v>2026년 3월 10 Mar</c:v>
              </c:pt>
              <c:pt idx="7">
                <c:v>2026년 3월 11 Mar</c:v>
              </c:pt>
              <c:pt idx="8">
                <c:v>2026년 3월 12 Mar</c:v>
              </c:pt>
              <c:pt idx="9">
                <c:v>2026년 3월 13 Mar</c:v>
              </c:pt>
              <c:pt idx="10">
                <c:v>2026년 3월 16 Mar</c:v>
              </c:pt>
              <c:pt idx="11">
                <c:v>2026년 3월 17 Mar</c:v>
              </c:pt>
              <c:pt idx="12">
                <c:v>2026년 3월 18 Mar</c:v>
              </c:pt>
              <c:pt idx="13">
                <c:v>2026년 3월 19 Mar</c:v>
              </c:pt>
              <c:pt idx="14">
                <c:v>2026년 3월 20 Mar</c:v>
              </c:pt>
              <c:pt idx="15">
                <c:v>2026년 3월 23 Mar</c:v>
              </c:pt>
            </c:strLit>
          </c:cat>
          <c:val>
            <c:numLit>
              <c:formatCode>General</c:formatCode>
              <c:ptCount val="16"/>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pt idx="15">
                <c:v>23.747500000000002</c:v>
              </c:pt>
            </c:numLit>
          </c:val>
          <c:smooth val="0"/>
          <c:extLst>
            <c:ext xmlns:c16="http://schemas.microsoft.com/office/drawing/2014/chart" uri="{C3380CC4-5D6E-409C-BE32-E72D297353CC}">
              <c16:uniqueId val="{00000003-21C4-4E5F-B752-DA7D65A609DE}"/>
            </c:ext>
          </c:extLst>
        </c:ser>
        <c:ser>
          <c:idx val="4"/>
          <c:order val="4"/>
          <c:tx>
            <c:v>Avg.KR '25 75%</c:v>
          </c:tx>
          <c:spPr>
            <a:ln w="12700" cap="rnd">
              <a:solidFill>
                <a:srgbClr val="C00000"/>
              </a:solidFill>
              <a:prstDash val="dash"/>
              <a:round/>
            </a:ln>
            <a:effectLst/>
          </c:spPr>
          <c:marker>
            <c:symbol val="none"/>
          </c:marker>
          <c:cat>
            <c:strLit>
              <c:ptCount val="16"/>
              <c:pt idx="0">
                <c:v>2026년 3월 02 Mar</c:v>
              </c:pt>
              <c:pt idx="1">
                <c:v>2026년 3월 03 Mar</c:v>
              </c:pt>
              <c:pt idx="2">
                <c:v>2026년 3월 04 Mar</c:v>
              </c:pt>
              <c:pt idx="3">
                <c:v>2026년 3월 05 Mar</c:v>
              </c:pt>
              <c:pt idx="4">
                <c:v>2026년 3월 06 Mar</c:v>
              </c:pt>
              <c:pt idx="5">
                <c:v>2026년 3월 09 Mar</c:v>
              </c:pt>
              <c:pt idx="6">
                <c:v>2026년 3월 10 Mar</c:v>
              </c:pt>
              <c:pt idx="7">
                <c:v>2026년 3월 11 Mar</c:v>
              </c:pt>
              <c:pt idx="8">
                <c:v>2026년 3월 12 Mar</c:v>
              </c:pt>
              <c:pt idx="9">
                <c:v>2026년 3월 13 Mar</c:v>
              </c:pt>
              <c:pt idx="10">
                <c:v>2026년 3월 16 Mar</c:v>
              </c:pt>
              <c:pt idx="11">
                <c:v>2026년 3월 17 Mar</c:v>
              </c:pt>
              <c:pt idx="12">
                <c:v>2026년 3월 18 Mar</c:v>
              </c:pt>
              <c:pt idx="13">
                <c:v>2026년 3월 19 Mar</c:v>
              </c:pt>
              <c:pt idx="14">
                <c:v>2026년 3월 20 Mar</c:v>
              </c:pt>
              <c:pt idx="15">
                <c:v>2026년 3월 23 Mar</c:v>
              </c:pt>
            </c:strLit>
          </c:cat>
          <c:val>
            <c:numLit>
              <c:formatCode>General</c:formatCode>
              <c:ptCount val="16"/>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pt idx="15">
                <c:v>51.122500000000002</c:v>
              </c:pt>
            </c:numLit>
          </c:val>
          <c:smooth val="0"/>
          <c:extLst>
            <c:ext xmlns:c16="http://schemas.microsoft.com/office/drawing/2014/chart" uri="{C3380CC4-5D6E-409C-BE32-E72D297353CC}">
              <c16:uniqueId val="{00000004-21C4-4E5F-B752-DA7D65A609DE}"/>
            </c:ext>
          </c:extLst>
        </c:ser>
        <c:ser>
          <c:idx val="5"/>
          <c:order val="5"/>
          <c:tx>
            <c:v>Avg.SP '25 25%</c:v>
          </c:tx>
          <c:spPr>
            <a:ln w="9525" cap="rnd">
              <a:solidFill>
                <a:schemeClr val="accent6">
                  <a:lumMod val="75000"/>
                </a:schemeClr>
              </a:solidFill>
              <a:prstDash val="sysDash"/>
              <a:round/>
            </a:ln>
            <a:effectLst/>
          </c:spPr>
          <c:marker>
            <c:symbol val="none"/>
          </c:marker>
          <c:cat>
            <c:strLit>
              <c:ptCount val="16"/>
              <c:pt idx="0">
                <c:v>2026년 3월 02 Mar</c:v>
              </c:pt>
              <c:pt idx="1">
                <c:v>2026년 3월 03 Mar</c:v>
              </c:pt>
              <c:pt idx="2">
                <c:v>2026년 3월 04 Mar</c:v>
              </c:pt>
              <c:pt idx="3">
                <c:v>2026년 3월 05 Mar</c:v>
              </c:pt>
              <c:pt idx="4">
                <c:v>2026년 3월 06 Mar</c:v>
              </c:pt>
              <c:pt idx="5">
                <c:v>2026년 3월 09 Mar</c:v>
              </c:pt>
              <c:pt idx="6">
                <c:v>2026년 3월 10 Mar</c:v>
              </c:pt>
              <c:pt idx="7">
                <c:v>2026년 3월 11 Mar</c:v>
              </c:pt>
              <c:pt idx="8">
                <c:v>2026년 3월 12 Mar</c:v>
              </c:pt>
              <c:pt idx="9">
                <c:v>2026년 3월 13 Mar</c:v>
              </c:pt>
              <c:pt idx="10">
                <c:v>2026년 3월 16 Mar</c:v>
              </c:pt>
              <c:pt idx="11">
                <c:v>2026년 3월 17 Mar</c:v>
              </c:pt>
              <c:pt idx="12">
                <c:v>2026년 3월 18 Mar</c:v>
              </c:pt>
              <c:pt idx="13">
                <c:v>2026년 3월 19 Mar</c:v>
              </c:pt>
              <c:pt idx="14">
                <c:v>2026년 3월 20 Mar</c:v>
              </c:pt>
              <c:pt idx="15">
                <c:v>2026년 3월 23 Mar</c:v>
              </c:pt>
            </c:strLit>
          </c:cat>
          <c:val>
            <c:numLit>
              <c:formatCode>General</c:formatCode>
              <c:ptCount val="16"/>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pt idx="15">
                <c:v>10.920000000000016</c:v>
              </c:pt>
            </c:numLit>
          </c:val>
          <c:smooth val="0"/>
          <c:extLst>
            <c:ext xmlns:c16="http://schemas.microsoft.com/office/drawing/2014/chart" uri="{C3380CC4-5D6E-409C-BE32-E72D297353CC}">
              <c16:uniqueId val="{00000005-21C4-4E5F-B752-DA7D65A609DE}"/>
            </c:ext>
          </c:extLst>
        </c:ser>
        <c:ser>
          <c:idx val="6"/>
          <c:order val="6"/>
          <c:tx>
            <c:v>Avg.SP '25 75%</c:v>
          </c:tx>
          <c:spPr>
            <a:ln w="9525" cap="rnd">
              <a:solidFill>
                <a:schemeClr val="accent6">
                  <a:lumMod val="75000"/>
                </a:schemeClr>
              </a:solidFill>
              <a:prstDash val="sysDash"/>
              <a:round/>
            </a:ln>
            <a:effectLst/>
          </c:spPr>
          <c:marker>
            <c:symbol val="none"/>
          </c:marker>
          <c:cat>
            <c:strLit>
              <c:ptCount val="16"/>
              <c:pt idx="0">
                <c:v>2026년 3월 02 Mar</c:v>
              </c:pt>
              <c:pt idx="1">
                <c:v>2026년 3월 03 Mar</c:v>
              </c:pt>
              <c:pt idx="2">
                <c:v>2026년 3월 04 Mar</c:v>
              </c:pt>
              <c:pt idx="3">
                <c:v>2026년 3월 05 Mar</c:v>
              </c:pt>
              <c:pt idx="4">
                <c:v>2026년 3월 06 Mar</c:v>
              </c:pt>
              <c:pt idx="5">
                <c:v>2026년 3월 09 Mar</c:v>
              </c:pt>
              <c:pt idx="6">
                <c:v>2026년 3월 10 Mar</c:v>
              </c:pt>
              <c:pt idx="7">
                <c:v>2026년 3월 11 Mar</c:v>
              </c:pt>
              <c:pt idx="8">
                <c:v>2026년 3월 12 Mar</c:v>
              </c:pt>
              <c:pt idx="9">
                <c:v>2026년 3월 13 Mar</c:v>
              </c:pt>
              <c:pt idx="10">
                <c:v>2026년 3월 16 Mar</c:v>
              </c:pt>
              <c:pt idx="11">
                <c:v>2026년 3월 17 Mar</c:v>
              </c:pt>
              <c:pt idx="12">
                <c:v>2026년 3월 18 Mar</c:v>
              </c:pt>
              <c:pt idx="13">
                <c:v>2026년 3월 19 Mar</c:v>
              </c:pt>
              <c:pt idx="14">
                <c:v>2026년 3월 20 Mar</c:v>
              </c:pt>
              <c:pt idx="15">
                <c:v>2026년 3월 23 Mar</c:v>
              </c:pt>
            </c:strLit>
          </c:cat>
          <c:val>
            <c:numLit>
              <c:formatCode>General</c:formatCode>
              <c:ptCount val="16"/>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pt idx="15">
                <c:v>13.480000000000018</c:v>
              </c:pt>
            </c:numLit>
          </c:val>
          <c:smooth val="0"/>
          <c:extLst>
            <c:ext xmlns:c16="http://schemas.microsoft.com/office/drawing/2014/chart" uri="{C3380CC4-5D6E-409C-BE32-E72D297353CC}">
              <c16:uniqueId val="{00000006-21C4-4E5F-B752-DA7D65A609DE}"/>
            </c:ext>
          </c:extLst>
        </c:ser>
        <c:ser>
          <c:idx val="7"/>
          <c:order val="7"/>
          <c:tx>
            <c:v>Avg. JP Spread</c:v>
          </c:tx>
          <c:spPr>
            <a:ln w="12700" cap="rnd">
              <a:solidFill>
                <a:schemeClr val="tx1">
                  <a:lumMod val="75000"/>
                  <a:lumOff val="25000"/>
                </a:schemeClr>
              </a:solidFill>
              <a:round/>
            </a:ln>
            <a:effectLst/>
          </c:spPr>
          <c:marker>
            <c:symbol val="none"/>
          </c:marker>
          <c:cat>
            <c:strLit>
              <c:ptCount val="16"/>
              <c:pt idx="0">
                <c:v>2026년 3월 02 Mar</c:v>
              </c:pt>
              <c:pt idx="1">
                <c:v>2026년 3월 03 Mar</c:v>
              </c:pt>
              <c:pt idx="2">
                <c:v>2026년 3월 04 Mar</c:v>
              </c:pt>
              <c:pt idx="3">
                <c:v>2026년 3월 05 Mar</c:v>
              </c:pt>
              <c:pt idx="4">
                <c:v>2026년 3월 06 Mar</c:v>
              </c:pt>
              <c:pt idx="5">
                <c:v>2026년 3월 09 Mar</c:v>
              </c:pt>
              <c:pt idx="6">
                <c:v>2026년 3월 10 Mar</c:v>
              </c:pt>
              <c:pt idx="7">
                <c:v>2026년 3월 11 Mar</c:v>
              </c:pt>
              <c:pt idx="8">
                <c:v>2026년 3월 12 Mar</c:v>
              </c:pt>
              <c:pt idx="9">
                <c:v>2026년 3월 13 Mar</c:v>
              </c:pt>
              <c:pt idx="10">
                <c:v>2026년 3월 16 Mar</c:v>
              </c:pt>
              <c:pt idx="11">
                <c:v>2026년 3월 17 Mar</c:v>
              </c:pt>
              <c:pt idx="12">
                <c:v>2026년 3월 18 Mar</c:v>
              </c:pt>
              <c:pt idx="13">
                <c:v>2026년 3월 19 Mar</c:v>
              </c:pt>
              <c:pt idx="14">
                <c:v>2026년 3월 20 Mar</c:v>
              </c:pt>
              <c:pt idx="15">
                <c:v>2026년 3월 23 Mar</c:v>
              </c:pt>
            </c:strLit>
          </c:cat>
          <c:val>
            <c:numLit>
              <c:formatCode>General</c:formatCode>
              <c:ptCount val="16"/>
              <c:pt idx="0">
                <c:v>36.620000000000005</c:v>
              </c:pt>
              <c:pt idx="1">
                <c:v>37.960000000000036</c:v>
              </c:pt>
              <c:pt idx="2">
                <c:v>41.350000000000023</c:v>
              </c:pt>
              <c:pt idx="3">
                <c:v>31.840000000000032</c:v>
              </c:pt>
              <c:pt idx="4">
                <c:v>31.909999999999968</c:v>
              </c:pt>
              <c:pt idx="5">
                <c:v>-40.149999999999977</c:v>
              </c:pt>
              <c:pt idx="6">
                <c:v>14.080000000000041</c:v>
              </c:pt>
              <c:pt idx="7">
                <c:v>30.039999999999964</c:v>
              </c:pt>
              <c:pt idx="8">
                <c:v>79.470000000000027</c:v>
              </c:pt>
              <c:pt idx="9">
                <c:v>66.990000000000009</c:v>
              </c:pt>
              <c:pt idx="10">
                <c:v>102.10000000000002</c:v>
              </c:pt>
              <c:pt idx="11">
                <c:v>102.22000000000003</c:v>
              </c:pt>
              <c:pt idx="12">
                <c:v>80.669999999999959</c:v>
              </c:pt>
              <c:pt idx="13">
                <c:v>76.519999999999982</c:v>
              </c:pt>
              <c:pt idx="14">
                <c:v>76.909999999999968</c:v>
              </c:pt>
              <c:pt idx="15">
                <c:v>78.440000000000055</c:v>
              </c:pt>
            </c:numLit>
          </c:val>
          <c:smooth val="0"/>
          <c:extLst>
            <c:ext xmlns:c16="http://schemas.microsoft.com/office/drawing/2014/chart" uri="{C3380CC4-5D6E-409C-BE32-E72D297353CC}">
              <c16:uniqueId val="{00000007-21C4-4E5F-B752-DA7D65A609DE}"/>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409]d&quot;-&quot;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ayout>
        <c:manualLayout>
          <c:xMode val="edge"/>
          <c:yMode val="edge"/>
          <c:x val="6.7252320637259208E-2"/>
          <c:y val="2.0358671184427139E-2"/>
          <c:w val="0.91304378092567584"/>
          <c:h val="7.381992217460961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'26.03.23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'26.03.23 보고자료 (수정중)'!$C$22:$F$22</c:f>
              <c:strCache>
                <c:ptCount val="4"/>
                <c:pt idx="0">
                  <c:v>3/9</c:v>
                </c:pt>
                <c:pt idx="1">
                  <c:v>3/16</c:v>
                </c:pt>
                <c:pt idx="2">
                  <c:v>3/23</c:v>
                </c:pt>
                <c:pt idx="3">
                  <c:v>This week assumption </c:v>
                </c:pt>
              </c:strCache>
            </c:strRef>
          </c:cat>
          <c:val>
            <c:numRef>
              <c:f>'26.03.23 보고자료 (수정중)'!$C$23:$F$23</c:f>
              <c:numCache>
                <c:formatCode>General</c:formatCode>
                <c:ptCount val="4"/>
                <c:pt idx="0">
                  <c:v>500</c:v>
                </c:pt>
                <c:pt idx="1">
                  <c:v>350</c:v>
                </c:pt>
                <c:pt idx="2">
                  <c:v>150</c:v>
                </c:pt>
                <c:pt idx="3">
                  <c:v>150</c:v>
                </c:pt>
              </c:numCache>
            </c:numRef>
          </c:val>
          <c:smooth val="0"/>
          <c:extLst>
            <c:ext xmlns:c16="http://schemas.microsoft.com/office/drawing/2014/chart" uri="{C3380CC4-5D6E-409C-BE32-E72D297353CC}">
              <c16:uniqueId val="{00000000-B6F0-48B6-B130-4594CDB78197}"/>
            </c:ext>
          </c:extLst>
        </c:ser>
        <c:ser>
          <c:idx val="1"/>
          <c:order val="1"/>
          <c:tx>
            <c:strRef>
              <c:f>'26.03.23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'26.03.23 보고자료 (수정중)'!$C$22:$F$22</c:f>
              <c:strCache>
                <c:ptCount val="4"/>
                <c:pt idx="0">
                  <c:v>3/9</c:v>
                </c:pt>
                <c:pt idx="1">
                  <c:v>3/16</c:v>
                </c:pt>
                <c:pt idx="2">
                  <c:v>3/23</c:v>
                </c:pt>
                <c:pt idx="3">
                  <c:v>This week assumption </c:v>
                </c:pt>
              </c:strCache>
            </c:strRef>
          </c:cat>
          <c:val>
            <c:numRef>
              <c:f>'26.03.23 보고자료 (수정중)'!$C$24:$F$24</c:f>
              <c:numCache>
                <c:formatCode>General</c:formatCode>
                <c:ptCount val="4"/>
                <c:pt idx="0">
                  <c:v>600</c:v>
                </c:pt>
                <c:pt idx="1">
                  <c:v>800</c:v>
                </c:pt>
                <c:pt idx="2">
                  <c:v>200</c:v>
                </c:pt>
                <c:pt idx="3">
                  <c:v>200</c:v>
                </c:pt>
              </c:numCache>
            </c:numRef>
          </c:val>
          <c:smooth val="0"/>
          <c:extLst>
            <c:ext xmlns:c16="http://schemas.microsoft.com/office/drawing/2014/chart" uri="{C3380CC4-5D6E-409C-BE32-E72D297353CC}">
              <c16:uniqueId val="{00000001-B6F0-48B6-B130-4594CDB78197}"/>
            </c:ext>
          </c:extLst>
        </c:ser>
        <c:ser>
          <c:idx val="2"/>
          <c:order val="2"/>
          <c:tx>
            <c:strRef>
              <c:f>'26.03.23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'26.03.23 보고자료 (수정중)'!$C$22:$F$22</c:f>
              <c:strCache>
                <c:ptCount val="4"/>
                <c:pt idx="0">
                  <c:v>3/9</c:v>
                </c:pt>
                <c:pt idx="1">
                  <c:v>3/16</c:v>
                </c:pt>
                <c:pt idx="2">
                  <c:v>3/23</c:v>
                </c:pt>
                <c:pt idx="3">
                  <c:v>This week assumption </c:v>
                </c:pt>
              </c:strCache>
            </c:strRef>
          </c:cat>
          <c:val>
            <c:numRef>
              <c:f>'26.03.23 보고자료 (수정중)'!$C$25:$F$25</c:f>
              <c:numCache>
                <c:formatCode>General</c:formatCode>
                <c:ptCount val="4"/>
                <c:pt idx="0">
                  <c:v>450</c:v>
                </c:pt>
                <c:pt idx="1">
                  <c:v>350</c:v>
                </c:pt>
                <c:pt idx="2">
                  <c:v>150</c:v>
                </c:pt>
                <c:pt idx="3">
                  <c:v>150</c:v>
                </c:pt>
              </c:numCache>
            </c:numRef>
          </c:val>
          <c:smooth val="0"/>
          <c:extLst>
            <c:ext xmlns:c16="http://schemas.microsoft.com/office/drawing/2014/chart" uri="{C3380CC4-5D6E-409C-BE32-E72D297353CC}">
              <c16:uniqueId val="{00000002-B6F0-48B6-B130-4594CDB78197}"/>
            </c:ext>
          </c:extLst>
        </c:ser>
        <c:ser>
          <c:idx val="3"/>
          <c:order val="3"/>
          <c:tx>
            <c:strRef>
              <c:f>'26.03.23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'26.03.23 보고자료 (수정중)'!$C$22:$F$22</c:f>
              <c:strCache>
                <c:ptCount val="4"/>
                <c:pt idx="0">
                  <c:v>3/9</c:v>
                </c:pt>
                <c:pt idx="1">
                  <c:v>3/16</c:v>
                </c:pt>
                <c:pt idx="2">
                  <c:v>3/23</c:v>
                </c:pt>
                <c:pt idx="3">
                  <c:v>This week assumption </c:v>
                </c:pt>
              </c:strCache>
            </c:strRef>
          </c:cat>
          <c:val>
            <c:numRef>
              <c:f>'26.03.23 보고자료 (수정중)'!$C$26:$F$26</c:f>
              <c:numCache>
                <c:formatCode>General</c:formatCode>
                <c:ptCount val="4"/>
                <c:pt idx="0">
                  <c:v>530</c:v>
                </c:pt>
                <c:pt idx="1">
                  <c:v>450</c:v>
                </c:pt>
                <c:pt idx="2">
                  <c:v>350</c:v>
                </c:pt>
                <c:pt idx="3">
                  <c:v>350</c:v>
                </c:pt>
              </c:numCache>
            </c:numRef>
          </c:val>
          <c:smooth val="0"/>
          <c:extLst>
            <c:ext xmlns:c16="http://schemas.microsoft.com/office/drawing/2014/chart" uri="{C3380CC4-5D6E-409C-BE32-E72D297353CC}">
              <c16:uniqueId val="{00000003-B6F0-48B6-B130-4594CDB78197}"/>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'26.03.23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'26.03.23 보고자료 (수정중)'!$P$22:$R$22</c:f>
              <c:numCache>
                <c:formatCode>m"/"d;@</c:formatCode>
                <c:ptCount val="3"/>
                <c:pt idx="0">
                  <c:v>46090</c:v>
                </c:pt>
                <c:pt idx="1">
                  <c:v>46097</c:v>
                </c:pt>
                <c:pt idx="2">
                  <c:v>46104</c:v>
                </c:pt>
              </c:numCache>
            </c:numRef>
          </c:cat>
          <c:val>
            <c:numRef>
              <c:f>'26.03.23 보고자료 (수정중)'!$P$23:$R$23</c:f>
              <c:numCache>
                <c:formatCode>General</c:formatCode>
                <c:ptCount val="3"/>
                <c:pt idx="0">
                  <c:v>1450</c:v>
                </c:pt>
                <c:pt idx="1">
                  <c:v>1350</c:v>
                </c:pt>
                <c:pt idx="2">
                  <c:v>1150</c:v>
                </c:pt>
              </c:numCache>
            </c:numRef>
          </c:val>
          <c:smooth val="0"/>
          <c:extLst>
            <c:ext xmlns:c16="http://schemas.microsoft.com/office/drawing/2014/chart" uri="{C3380CC4-5D6E-409C-BE32-E72D297353CC}">
              <c16:uniqueId val="{00000000-7013-4EDC-AE2A-C5CD0C4296D5}"/>
            </c:ext>
          </c:extLst>
        </c:ser>
        <c:ser>
          <c:idx val="1"/>
          <c:order val="1"/>
          <c:tx>
            <c:strRef>
              <c:f>'26.03.23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'26.03.23 보고자료 (수정중)'!$P$22:$R$22</c:f>
              <c:numCache>
                <c:formatCode>m"/"d;@</c:formatCode>
                <c:ptCount val="3"/>
                <c:pt idx="0">
                  <c:v>46090</c:v>
                </c:pt>
                <c:pt idx="1">
                  <c:v>46097</c:v>
                </c:pt>
                <c:pt idx="2">
                  <c:v>46104</c:v>
                </c:pt>
              </c:numCache>
            </c:numRef>
          </c:cat>
          <c:val>
            <c:numRef>
              <c:f>'26.03.23 보고자료 (수정중)'!$P$24:$R$24</c:f>
              <c:numCache>
                <c:formatCode>General</c:formatCode>
                <c:ptCount val="3"/>
                <c:pt idx="0">
                  <c:v>1130</c:v>
                </c:pt>
                <c:pt idx="1">
                  <c:v>1100</c:v>
                </c:pt>
                <c:pt idx="2">
                  <c:v>1017</c:v>
                </c:pt>
              </c:numCache>
            </c:numRef>
          </c:val>
          <c:smooth val="0"/>
          <c:extLst>
            <c:ext xmlns:c16="http://schemas.microsoft.com/office/drawing/2014/chart" uri="{C3380CC4-5D6E-409C-BE32-E72D297353CC}">
              <c16:uniqueId val="{00000001-7013-4EDC-AE2A-C5CD0C4296D5}"/>
            </c:ext>
          </c:extLst>
        </c:ser>
        <c:ser>
          <c:idx val="2"/>
          <c:order val="2"/>
          <c:tx>
            <c:strRef>
              <c:f>'26.03.23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'26.03.23 보고자료 (수정중)'!$P$22:$R$22</c:f>
              <c:numCache>
                <c:formatCode>m"/"d;@</c:formatCode>
                <c:ptCount val="3"/>
                <c:pt idx="0">
                  <c:v>46090</c:v>
                </c:pt>
                <c:pt idx="1">
                  <c:v>46097</c:v>
                </c:pt>
                <c:pt idx="2">
                  <c:v>46104</c:v>
                </c:pt>
              </c:numCache>
            </c:numRef>
          </c:cat>
          <c:val>
            <c:numRef>
              <c:f>'26.03.23 보고자료 (수정중)'!$P$25:$R$25</c:f>
              <c:numCache>
                <c:formatCode>General</c:formatCode>
                <c:ptCount val="3"/>
                <c:pt idx="0">
                  <c:v>1350</c:v>
                </c:pt>
                <c:pt idx="1">
                  <c:v>1300</c:v>
                </c:pt>
                <c:pt idx="2">
                  <c:v>1250</c:v>
                </c:pt>
              </c:numCache>
            </c:numRef>
          </c:val>
          <c:smooth val="0"/>
          <c:extLst>
            <c:ext xmlns:c16="http://schemas.microsoft.com/office/drawing/2014/chart" uri="{C3380CC4-5D6E-409C-BE32-E72D297353CC}">
              <c16:uniqueId val="{00000002-7013-4EDC-AE2A-C5CD0C4296D5}"/>
            </c:ext>
          </c:extLst>
        </c:ser>
        <c:ser>
          <c:idx val="3"/>
          <c:order val="3"/>
          <c:tx>
            <c:strRef>
              <c:f>'26.03.23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'26.03.23 보고자료 (수정중)'!$P$22:$R$22</c:f>
              <c:numCache>
                <c:formatCode>m"/"d;@</c:formatCode>
                <c:ptCount val="3"/>
                <c:pt idx="0">
                  <c:v>46090</c:v>
                </c:pt>
                <c:pt idx="1">
                  <c:v>46097</c:v>
                </c:pt>
                <c:pt idx="2">
                  <c:v>46104</c:v>
                </c:pt>
              </c:numCache>
            </c:numRef>
          </c:cat>
          <c:val>
            <c:numRef>
              <c:f>'26.03.23 보고자료 (수정중)'!$P$26:$R$26</c:f>
              <c:numCache>
                <c:formatCode>General</c:formatCode>
                <c:ptCount val="3"/>
                <c:pt idx="0">
                  <c:v>1100</c:v>
                </c:pt>
                <c:pt idx="1">
                  <c:v>1050</c:v>
                </c:pt>
                <c:pt idx="2">
                  <c:v>980</c:v>
                </c:pt>
              </c:numCache>
            </c:numRef>
          </c:val>
          <c:smooth val="0"/>
          <c:extLst>
            <c:ext xmlns:c16="http://schemas.microsoft.com/office/drawing/2014/chart" uri="{C3380CC4-5D6E-409C-BE32-E72D297353CC}">
              <c16:uniqueId val="{00000003-7013-4EDC-AE2A-C5CD0C4296D5}"/>
            </c:ext>
          </c:extLst>
        </c:ser>
        <c:ser>
          <c:idx val="4"/>
          <c:order val="4"/>
          <c:tx>
            <c:strRef>
              <c:f>'26.03.23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'26.03.23 보고자료 (수정중)'!$P$22:$R$22</c:f>
              <c:numCache>
                <c:formatCode>m"/"d;@</c:formatCode>
                <c:ptCount val="3"/>
                <c:pt idx="0">
                  <c:v>46090</c:v>
                </c:pt>
                <c:pt idx="1">
                  <c:v>46097</c:v>
                </c:pt>
                <c:pt idx="2">
                  <c:v>46104</c:v>
                </c:pt>
              </c:numCache>
            </c:numRef>
          </c:cat>
          <c:val>
            <c:numRef>
              <c:f>'26.03.23 보고자료 (수정중)'!$P$27:$R$27</c:f>
              <c:numCache>
                <c:formatCode>General</c:formatCode>
                <c:ptCount val="3"/>
              </c:numCache>
            </c:numRef>
          </c:val>
          <c:smooth val="0"/>
          <c:extLst>
            <c:ext xmlns:c16="http://schemas.microsoft.com/office/drawing/2014/chart" uri="{C3380CC4-5D6E-409C-BE32-E72D297353CC}">
              <c16:uniqueId val="{00000004-7013-4EDC-AE2A-C5CD0C4296D5}"/>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9.1556876250388095E-2"/>
          <c:y val="1.3485478921430528E-2"/>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57273468080095E-2"/>
          <c:y val="7.3825087611814125E-2"/>
          <c:w val="0.94563878136667945"/>
          <c:h val="0.75799866778400915"/>
        </c:manualLayout>
      </c:layout>
      <c:lineChart>
        <c:grouping val="standard"/>
        <c:varyColors val="0"/>
        <c:ser>
          <c:idx val="0"/>
          <c:order val="0"/>
          <c:tx>
            <c:v>Avg.KR</c:v>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2026년 2월 16 Feb</c:v>
              </c:pt>
              <c:pt idx="1">
                <c:v>2026년 2월 19 Feb</c:v>
              </c:pt>
              <c:pt idx="2">
                <c:v>2026년 2월 20 Feb</c:v>
              </c:pt>
              <c:pt idx="3">
                <c:v>2026년 2월 23 Feb</c:v>
              </c:pt>
              <c:pt idx="4">
                <c:v>2026년 2월 24 Feb</c:v>
              </c:pt>
              <c:pt idx="5">
                <c:v>2026년 2월 25 Feb</c:v>
              </c:pt>
              <c:pt idx="6">
                <c:v>2026년 2월 26 Feb</c:v>
              </c:pt>
              <c:pt idx="7">
                <c:v>2026년 2월 27 Feb</c:v>
              </c:pt>
              <c:pt idx="8">
                <c:v>2026년 3월 02 Mar</c:v>
              </c:pt>
              <c:pt idx="9">
                <c:v>2026년 3월 03 Mar</c:v>
              </c:pt>
              <c:pt idx="10">
                <c:v>2026년 3월 04 Mar</c:v>
              </c:pt>
              <c:pt idx="11">
                <c:v>2026년 3월 05 Mar</c:v>
              </c:pt>
              <c:pt idx="12">
                <c:v>2026년 3월 06 Mar</c:v>
              </c:pt>
              <c:pt idx="13">
                <c:v>2026년 3월 09 Mar</c:v>
              </c:pt>
              <c:pt idx="14">
                <c:v>2026년 3월 10 Mar</c:v>
              </c:pt>
              <c:pt idx="15">
                <c:v>2026년 3월 11 Mar</c:v>
              </c:pt>
              <c:pt idx="16">
                <c:v>2026년 3월 12 Mar</c:v>
              </c:pt>
              <c:pt idx="17">
                <c:v>2026년 3월 13 Mar</c:v>
              </c:pt>
              <c:pt idx="18">
                <c:v>2026년 3월 16 Mar</c:v>
              </c:pt>
            </c:strLit>
          </c:cat>
          <c:val>
            <c:numLit>
              <c:formatCode>General</c:formatCode>
              <c:ptCount val="19"/>
              <c:pt idx="0">
                <c:v>29.139999999999986</c:v>
              </c:pt>
              <c:pt idx="1">
                <c:v>39.550000000000011</c:v>
              </c:pt>
              <c:pt idx="2">
                <c:v>46.819999999999993</c:v>
              </c:pt>
              <c:pt idx="3">
                <c:v>30.829999999999984</c:v>
              </c:pt>
              <c:pt idx="4">
                <c:v>32.139999999999986</c:v>
              </c:pt>
              <c:pt idx="5">
                <c:v>29.430000000000007</c:v>
              </c:pt>
              <c:pt idx="6">
                <c:v>27.699999999999989</c:v>
              </c:pt>
              <c:pt idx="7">
                <c:v>22.829999999999984</c:v>
              </c:pt>
              <c:pt idx="8">
                <c:v>44.120000000000005</c:v>
              </c:pt>
              <c:pt idx="9">
                <c:v>89.960000000000036</c:v>
              </c:pt>
              <c:pt idx="10">
                <c:v>104.35000000000002</c:v>
              </c:pt>
              <c:pt idx="11">
                <c:v>136.84000000000003</c:v>
              </c:pt>
              <c:pt idx="12">
                <c:v>230.90999999999997</c:v>
              </c:pt>
              <c:pt idx="13">
                <c:v>359.85</c:v>
              </c:pt>
              <c:pt idx="14">
                <c:v>454.08000000000004</c:v>
              </c:pt>
              <c:pt idx="15">
                <c:v>568.04</c:v>
              </c:pt>
              <c:pt idx="16">
                <c:v>566.22</c:v>
              </c:pt>
              <c:pt idx="17">
                <c:v>518.99</c:v>
              </c:pt>
              <c:pt idx="18">
                <c:v>395.1</c:v>
              </c:pt>
            </c:numLit>
          </c:val>
          <c:smooth val="0"/>
          <c:extLst>
            <c:ext xmlns:c16="http://schemas.microsoft.com/office/drawing/2014/chart" uri="{C3380CC4-5D6E-409C-BE32-E72D297353CC}">
              <c16:uniqueId val="{00000000-7923-4D4F-978A-3FBFFD59CCDF}"/>
            </c:ext>
          </c:extLst>
        </c:ser>
        <c:ser>
          <c:idx val="1"/>
          <c:order val="1"/>
          <c:tx>
            <c:v>Avg.SP</c:v>
          </c:tx>
          <c:spPr>
            <a:ln w="9525" cap="rnd">
              <a:solidFill>
                <a:schemeClr val="accent6">
                  <a:lumMod val="75000"/>
                </a:schemeClr>
              </a:solidFill>
              <a:round/>
            </a:ln>
            <a:effectLst/>
          </c:spPr>
          <c:marker>
            <c:symbol val="none"/>
          </c:marker>
          <c:cat>
            <c:strLit>
              <c:ptCount val="19"/>
              <c:pt idx="0">
                <c:v>2026년 2월 16 Feb</c:v>
              </c:pt>
              <c:pt idx="1">
                <c:v>2026년 2월 19 Feb</c:v>
              </c:pt>
              <c:pt idx="2">
                <c:v>2026년 2월 20 Feb</c:v>
              </c:pt>
              <c:pt idx="3">
                <c:v>2026년 2월 23 Feb</c:v>
              </c:pt>
              <c:pt idx="4">
                <c:v>2026년 2월 24 Feb</c:v>
              </c:pt>
              <c:pt idx="5">
                <c:v>2026년 2월 25 Feb</c:v>
              </c:pt>
              <c:pt idx="6">
                <c:v>2026년 2월 26 Feb</c:v>
              </c:pt>
              <c:pt idx="7">
                <c:v>2026년 2월 27 Feb</c:v>
              </c:pt>
              <c:pt idx="8">
                <c:v>2026년 3월 02 Mar</c:v>
              </c:pt>
              <c:pt idx="9">
                <c:v>2026년 3월 03 Mar</c:v>
              </c:pt>
              <c:pt idx="10">
                <c:v>2026년 3월 04 Mar</c:v>
              </c:pt>
              <c:pt idx="11">
                <c:v>2026년 3월 05 Mar</c:v>
              </c:pt>
              <c:pt idx="12">
                <c:v>2026년 3월 06 Mar</c:v>
              </c:pt>
              <c:pt idx="13">
                <c:v>2026년 3월 09 Mar</c:v>
              </c:pt>
              <c:pt idx="14">
                <c:v>2026년 3월 10 Mar</c:v>
              </c:pt>
              <c:pt idx="15">
                <c:v>2026년 3월 11 Mar</c:v>
              </c:pt>
              <c:pt idx="16">
                <c:v>2026년 3월 12 Mar</c:v>
              </c:pt>
              <c:pt idx="17">
                <c:v>2026년 3월 13 Mar</c:v>
              </c:pt>
              <c:pt idx="18">
                <c:v>2026년 3월 16 Mar</c:v>
              </c:pt>
            </c:strLit>
          </c:cat>
          <c:val>
            <c:numLit>
              <c:formatCode>General</c:formatCode>
              <c:ptCount val="19"/>
              <c:pt idx="0">
                <c:v>18.139999999999986</c:v>
              </c:pt>
              <c:pt idx="1">
                <c:v>18.550000000000011</c:v>
              </c:pt>
              <c:pt idx="2">
                <c:v>17.319999999999993</c:v>
              </c:pt>
              <c:pt idx="3">
                <c:v>16.829999999999984</c:v>
              </c:pt>
              <c:pt idx="4">
                <c:v>16.139999999999986</c:v>
              </c:pt>
              <c:pt idx="5">
                <c:v>16.430000000000007</c:v>
              </c:pt>
              <c:pt idx="6">
                <c:v>14.699999999999989</c:v>
              </c:pt>
              <c:pt idx="7">
                <c:v>13.829999999999984</c:v>
              </c:pt>
              <c:pt idx="8">
                <c:v>16.620000000000005</c:v>
              </c:pt>
              <c:pt idx="9">
                <c:v>27.960000000000036</c:v>
              </c:pt>
              <c:pt idx="10">
                <c:v>39.350000000000023</c:v>
              </c:pt>
              <c:pt idx="11">
                <c:v>49.840000000000032</c:v>
              </c:pt>
              <c:pt idx="12">
                <c:v>85.909999999999968</c:v>
              </c:pt>
              <c:pt idx="13">
                <c:v>209.85000000000002</c:v>
              </c:pt>
              <c:pt idx="14">
                <c:v>214.08000000000004</c:v>
              </c:pt>
              <c:pt idx="15">
                <c:v>208.03999999999996</c:v>
              </c:pt>
              <c:pt idx="16">
                <c:v>205.47000000000003</c:v>
              </c:pt>
              <c:pt idx="17">
                <c:v>201.99</c:v>
              </c:pt>
              <c:pt idx="18">
                <c:v>165.10000000000002</c:v>
              </c:pt>
            </c:numLit>
          </c:val>
          <c:smooth val="0"/>
          <c:extLst>
            <c:ext xmlns:c16="http://schemas.microsoft.com/office/drawing/2014/chart" uri="{C3380CC4-5D6E-409C-BE32-E72D297353CC}">
              <c16:uniqueId val="{00000001-7923-4D4F-978A-3FBFFD59CCDF}"/>
            </c:ext>
          </c:extLst>
        </c:ser>
        <c:ser>
          <c:idx val="2"/>
          <c:order val="2"/>
          <c:tx>
            <c:v>Avg.ZS</c:v>
          </c:tx>
          <c:spPr>
            <a:ln w="9525" cap="rnd">
              <a:solidFill>
                <a:schemeClr val="accent1">
                  <a:lumMod val="75000"/>
                </a:schemeClr>
              </a:solidFill>
              <a:round/>
            </a:ln>
            <a:effectLst/>
          </c:spPr>
          <c:marker>
            <c:symbol val="none"/>
          </c:marker>
          <c:cat>
            <c:strLit>
              <c:ptCount val="19"/>
              <c:pt idx="0">
                <c:v>2026년 2월 16 Feb</c:v>
              </c:pt>
              <c:pt idx="1">
                <c:v>2026년 2월 19 Feb</c:v>
              </c:pt>
              <c:pt idx="2">
                <c:v>2026년 2월 20 Feb</c:v>
              </c:pt>
              <c:pt idx="3">
                <c:v>2026년 2월 23 Feb</c:v>
              </c:pt>
              <c:pt idx="4">
                <c:v>2026년 2월 24 Feb</c:v>
              </c:pt>
              <c:pt idx="5">
                <c:v>2026년 2월 25 Feb</c:v>
              </c:pt>
              <c:pt idx="6">
                <c:v>2026년 2월 26 Feb</c:v>
              </c:pt>
              <c:pt idx="7">
                <c:v>2026년 2월 27 Feb</c:v>
              </c:pt>
              <c:pt idx="8">
                <c:v>2026년 3월 02 Mar</c:v>
              </c:pt>
              <c:pt idx="9">
                <c:v>2026년 3월 03 Mar</c:v>
              </c:pt>
              <c:pt idx="10">
                <c:v>2026년 3월 04 Mar</c:v>
              </c:pt>
              <c:pt idx="11">
                <c:v>2026년 3월 05 Mar</c:v>
              </c:pt>
              <c:pt idx="12">
                <c:v>2026년 3월 06 Mar</c:v>
              </c:pt>
              <c:pt idx="13">
                <c:v>2026년 3월 09 Mar</c:v>
              </c:pt>
              <c:pt idx="14">
                <c:v>2026년 3월 10 Mar</c:v>
              </c:pt>
              <c:pt idx="15">
                <c:v>2026년 3월 11 Mar</c:v>
              </c:pt>
              <c:pt idx="16">
                <c:v>2026년 3월 12 Mar</c:v>
              </c:pt>
              <c:pt idx="17">
                <c:v>2026년 3월 13 Mar</c:v>
              </c:pt>
              <c:pt idx="18">
                <c:v>2026년 3월 16 Mar</c:v>
              </c:pt>
            </c:strLit>
          </c:cat>
          <c:val>
            <c:numLit>
              <c:formatCode>General</c:formatCode>
              <c:ptCount val="19"/>
              <c:pt idx="0">
                <c:v>35.139999999999986</c:v>
              </c:pt>
              <c:pt idx="1">
                <c:v>32.550000000000011</c:v>
              </c:pt>
              <c:pt idx="2">
                <c:v>26.319999999999993</c:v>
              </c:pt>
              <c:pt idx="3">
                <c:v>22.829999999999984</c:v>
              </c:pt>
              <c:pt idx="4">
                <c:v>20.139999999999986</c:v>
              </c:pt>
              <c:pt idx="5">
                <c:v>17.430000000000007</c:v>
              </c:pt>
              <c:pt idx="6">
                <c:v>17.699999999999989</c:v>
              </c:pt>
              <c:pt idx="7">
                <c:v>17.829999999999984</c:v>
              </c:pt>
              <c:pt idx="8">
                <c:v>16.620000000000005</c:v>
              </c:pt>
              <c:pt idx="9">
                <c:v>19.960000000000036</c:v>
              </c:pt>
              <c:pt idx="10">
                <c:v>24.350000000000023</c:v>
              </c:pt>
              <c:pt idx="11">
                <c:v>46.840000000000032</c:v>
              </c:pt>
              <c:pt idx="12">
                <c:v>85.909999999999968</c:v>
              </c:pt>
              <c:pt idx="13">
                <c:v>134.85000000000002</c:v>
              </c:pt>
              <c:pt idx="14">
                <c:v>274.08000000000004</c:v>
              </c:pt>
              <c:pt idx="15">
                <c:v>228.03999999999996</c:v>
              </c:pt>
              <c:pt idx="16">
                <c:v>192.47000000000003</c:v>
              </c:pt>
              <c:pt idx="17">
                <c:v>128.99</c:v>
              </c:pt>
              <c:pt idx="18">
                <c:v>125.10000000000002</c:v>
              </c:pt>
            </c:numLit>
          </c:val>
          <c:smooth val="0"/>
          <c:extLst>
            <c:ext xmlns:c16="http://schemas.microsoft.com/office/drawing/2014/chart" uri="{C3380CC4-5D6E-409C-BE32-E72D297353CC}">
              <c16:uniqueId val="{00000002-7923-4D4F-978A-3FBFFD59CCDF}"/>
            </c:ext>
          </c:extLst>
        </c:ser>
        <c:ser>
          <c:idx val="3"/>
          <c:order val="3"/>
          <c:tx>
            <c:v>Avg.KR '25 25%</c:v>
          </c:tx>
          <c:spPr>
            <a:ln w="12700" cap="rnd">
              <a:solidFill>
                <a:srgbClr val="C00000"/>
              </a:solidFill>
              <a:prstDash val="dash"/>
              <a:round/>
            </a:ln>
            <a:effectLst/>
          </c:spPr>
          <c:marker>
            <c:symbol val="none"/>
          </c:marker>
          <c:cat>
            <c:strLit>
              <c:ptCount val="19"/>
              <c:pt idx="0">
                <c:v>2026년 2월 16 Feb</c:v>
              </c:pt>
              <c:pt idx="1">
                <c:v>2026년 2월 19 Feb</c:v>
              </c:pt>
              <c:pt idx="2">
                <c:v>2026년 2월 20 Feb</c:v>
              </c:pt>
              <c:pt idx="3">
                <c:v>2026년 2월 23 Feb</c:v>
              </c:pt>
              <c:pt idx="4">
                <c:v>2026년 2월 24 Feb</c:v>
              </c:pt>
              <c:pt idx="5">
                <c:v>2026년 2월 25 Feb</c:v>
              </c:pt>
              <c:pt idx="6">
                <c:v>2026년 2월 26 Feb</c:v>
              </c:pt>
              <c:pt idx="7">
                <c:v>2026년 2월 27 Feb</c:v>
              </c:pt>
              <c:pt idx="8">
                <c:v>2026년 3월 02 Mar</c:v>
              </c:pt>
              <c:pt idx="9">
                <c:v>2026년 3월 03 Mar</c:v>
              </c:pt>
              <c:pt idx="10">
                <c:v>2026년 3월 04 Mar</c:v>
              </c:pt>
              <c:pt idx="11">
                <c:v>2026년 3월 05 Mar</c:v>
              </c:pt>
              <c:pt idx="12">
                <c:v>2026년 3월 06 Mar</c:v>
              </c:pt>
              <c:pt idx="13">
                <c:v>2026년 3월 09 Mar</c:v>
              </c:pt>
              <c:pt idx="14">
                <c:v>2026년 3월 10 Mar</c:v>
              </c:pt>
              <c:pt idx="15">
                <c:v>2026년 3월 11 Mar</c:v>
              </c:pt>
              <c:pt idx="16">
                <c:v>2026년 3월 12 Mar</c:v>
              </c:pt>
              <c:pt idx="17">
                <c:v>2026년 3월 13 Mar</c:v>
              </c:pt>
              <c:pt idx="18">
                <c:v>2026년 3월 16 Mar</c:v>
              </c:pt>
            </c:strLit>
          </c:cat>
          <c:val>
            <c:numLit>
              <c:formatCode>General</c:formatCode>
              <c:ptCount val="19"/>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pt idx="15">
                <c:v>23.747500000000002</c:v>
              </c:pt>
              <c:pt idx="16">
                <c:v>23.747500000000002</c:v>
              </c:pt>
              <c:pt idx="17">
                <c:v>23.747500000000002</c:v>
              </c:pt>
              <c:pt idx="18">
                <c:v>23.747500000000002</c:v>
              </c:pt>
            </c:numLit>
          </c:val>
          <c:smooth val="0"/>
          <c:extLst>
            <c:ext xmlns:c16="http://schemas.microsoft.com/office/drawing/2014/chart" uri="{C3380CC4-5D6E-409C-BE32-E72D297353CC}">
              <c16:uniqueId val="{00000003-7923-4D4F-978A-3FBFFD59CCDF}"/>
            </c:ext>
          </c:extLst>
        </c:ser>
        <c:ser>
          <c:idx val="4"/>
          <c:order val="4"/>
          <c:tx>
            <c:v>Avg.KR '25 75%</c:v>
          </c:tx>
          <c:spPr>
            <a:ln w="12700" cap="rnd">
              <a:solidFill>
                <a:srgbClr val="C00000"/>
              </a:solidFill>
              <a:prstDash val="dash"/>
              <a:round/>
            </a:ln>
            <a:effectLst/>
          </c:spPr>
          <c:marker>
            <c:symbol val="none"/>
          </c:marker>
          <c:cat>
            <c:strLit>
              <c:ptCount val="19"/>
              <c:pt idx="0">
                <c:v>2026년 2월 16 Feb</c:v>
              </c:pt>
              <c:pt idx="1">
                <c:v>2026년 2월 19 Feb</c:v>
              </c:pt>
              <c:pt idx="2">
                <c:v>2026년 2월 20 Feb</c:v>
              </c:pt>
              <c:pt idx="3">
                <c:v>2026년 2월 23 Feb</c:v>
              </c:pt>
              <c:pt idx="4">
                <c:v>2026년 2월 24 Feb</c:v>
              </c:pt>
              <c:pt idx="5">
                <c:v>2026년 2월 25 Feb</c:v>
              </c:pt>
              <c:pt idx="6">
                <c:v>2026년 2월 26 Feb</c:v>
              </c:pt>
              <c:pt idx="7">
                <c:v>2026년 2월 27 Feb</c:v>
              </c:pt>
              <c:pt idx="8">
                <c:v>2026년 3월 02 Mar</c:v>
              </c:pt>
              <c:pt idx="9">
                <c:v>2026년 3월 03 Mar</c:v>
              </c:pt>
              <c:pt idx="10">
                <c:v>2026년 3월 04 Mar</c:v>
              </c:pt>
              <c:pt idx="11">
                <c:v>2026년 3월 05 Mar</c:v>
              </c:pt>
              <c:pt idx="12">
                <c:v>2026년 3월 06 Mar</c:v>
              </c:pt>
              <c:pt idx="13">
                <c:v>2026년 3월 09 Mar</c:v>
              </c:pt>
              <c:pt idx="14">
                <c:v>2026년 3월 10 Mar</c:v>
              </c:pt>
              <c:pt idx="15">
                <c:v>2026년 3월 11 Mar</c:v>
              </c:pt>
              <c:pt idx="16">
                <c:v>2026년 3월 12 Mar</c:v>
              </c:pt>
              <c:pt idx="17">
                <c:v>2026년 3월 13 Mar</c:v>
              </c:pt>
              <c:pt idx="18">
                <c:v>2026년 3월 16 Mar</c:v>
              </c:pt>
            </c:strLit>
          </c:cat>
          <c:val>
            <c:numLit>
              <c:formatCode>General</c:formatCode>
              <c:ptCount val="19"/>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pt idx="15">
                <c:v>51.122500000000002</c:v>
              </c:pt>
              <c:pt idx="16">
                <c:v>51.122500000000002</c:v>
              </c:pt>
              <c:pt idx="17">
                <c:v>51.122500000000002</c:v>
              </c:pt>
              <c:pt idx="18">
                <c:v>51.122500000000002</c:v>
              </c:pt>
            </c:numLit>
          </c:val>
          <c:smooth val="0"/>
          <c:extLst>
            <c:ext xmlns:c16="http://schemas.microsoft.com/office/drawing/2014/chart" uri="{C3380CC4-5D6E-409C-BE32-E72D297353CC}">
              <c16:uniqueId val="{00000004-7923-4D4F-978A-3FBFFD59CCDF}"/>
            </c:ext>
          </c:extLst>
        </c:ser>
        <c:ser>
          <c:idx val="5"/>
          <c:order val="5"/>
          <c:tx>
            <c:v>Avg.SP '25 25%</c:v>
          </c:tx>
          <c:spPr>
            <a:ln w="9525" cap="rnd">
              <a:solidFill>
                <a:schemeClr val="accent6">
                  <a:lumMod val="75000"/>
                </a:schemeClr>
              </a:solidFill>
              <a:prstDash val="sysDash"/>
              <a:round/>
            </a:ln>
            <a:effectLst/>
          </c:spPr>
          <c:marker>
            <c:symbol val="none"/>
          </c:marker>
          <c:cat>
            <c:strLit>
              <c:ptCount val="19"/>
              <c:pt idx="0">
                <c:v>2026년 2월 16 Feb</c:v>
              </c:pt>
              <c:pt idx="1">
                <c:v>2026년 2월 19 Feb</c:v>
              </c:pt>
              <c:pt idx="2">
                <c:v>2026년 2월 20 Feb</c:v>
              </c:pt>
              <c:pt idx="3">
                <c:v>2026년 2월 23 Feb</c:v>
              </c:pt>
              <c:pt idx="4">
                <c:v>2026년 2월 24 Feb</c:v>
              </c:pt>
              <c:pt idx="5">
                <c:v>2026년 2월 25 Feb</c:v>
              </c:pt>
              <c:pt idx="6">
                <c:v>2026년 2월 26 Feb</c:v>
              </c:pt>
              <c:pt idx="7">
                <c:v>2026년 2월 27 Feb</c:v>
              </c:pt>
              <c:pt idx="8">
                <c:v>2026년 3월 02 Mar</c:v>
              </c:pt>
              <c:pt idx="9">
                <c:v>2026년 3월 03 Mar</c:v>
              </c:pt>
              <c:pt idx="10">
                <c:v>2026년 3월 04 Mar</c:v>
              </c:pt>
              <c:pt idx="11">
                <c:v>2026년 3월 05 Mar</c:v>
              </c:pt>
              <c:pt idx="12">
                <c:v>2026년 3월 06 Mar</c:v>
              </c:pt>
              <c:pt idx="13">
                <c:v>2026년 3월 09 Mar</c:v>
              </c:pt>
              <c:pt idx="14">
                <c:v>2026년 3월 10 Mar</c:v>
              </c:pt>
              <c:pt idx="15">
                <c:v>2026년 3월 11 Mar</c:v>
              </c:pt>
              <c:pt idx="16">
                <c:v>2026년 3월 12 Mar</c:v>
              </c:pt>
              <c:pt idx="17">
                <c:v>2026년 3월 13 Mar</c:v>
              </c:pt>
              <c:pt idx="18">
                <c:v>2026년 3월 16 Mar</c:v>
              </c:pt>
            </c:strLit>
          </c:cat>
          <c:val>
            <c:numLit>
              <c:formatCode>General</c:formatCode>
              <c:ptCount val="19"/>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pt idx="15">
                <c:v>10.920000000000016</c:v>
              </c:pt>
              <c:pt idx="16">
                <c:v>10.920000000000016</c:v>
              </c:pt>
              <c:pt idx="17">
                <c:v>10.920000000000016</c:v>
              </c:pt>
              <c:pt idx="18">
                <c:v>10.920000000000016</c:v>
              </c:pt>
            </c:numLit>
          </c:val>
          <c:smooth val="0"/>
          <c:extLst>
            <c:ext xmlns:c16="http://schemas.microsoft.com/office/drawing/2014/chart" uri="{C3380CC4-5D6E-409C-BE32-E72D297353CC}">
              <c16:uniqueId val="{00000005-7923-4D4F-978A-3FBFFD59CCDF}"/>
            </c:ext>
          </c:extLst>
        </c:ser>
        <c:ser>
          <c:idx val="6"/>
          <c:order val="6"/>
          <c:tx>
            <c:v>Avg.SP '25 75%</c:v>
          </c:tx>
          <c:spPr>
            <a:ln w="9525" cap="rnd">
              <a:solidFill>
                <a:schemeClr val="accent6">
                  <a:lumMod val="75000"/>
                </a:schemeClr>
              </a:solidFill>
              <a:prstDash val="sysDash"/>
              <a:round/>
            </a:ln>
            <a:effectLst/>
          </c:spPr>
          <c:marker>
            <c:symbol val="none"/>
          </c:marker>
          <c:cat>
            <c:strLit>
              <c:ptCount val="19"/>
              <c:pt idx="0">
                <c:v>2026년 2월 16 Feb</c:v>
              </c:pt>
              <c:pt idx="1">
                <c:v>2026년 2월 19 Feb</c:v>
              </c:pt>
              <c:pt idx="2">
                <c:v>2026년 2월 20 Feb</c:v>
              </c:pt>
              <c:pt idx="3">
                <c:v>2026년 2월 23 Feb</c:v>
              </c:pt>
              <c:pt idx="4">
                <c:v>2026년 2월 24 Feb</c:v>
              </c:pt>
              <c:pt idx="5">
                <c:v>2026년 2월 25 Feb</c:v>
              </c:pt>
              <c:pt idx="6">
                <c:v>2026년 2월 26 Feb</c:v>
              </c:pt>
              <c:pt idx="7">
                <c:v>2026년 2월 27 Feb</c:v>
              </c:pt>
              <c:pt idx="8">
                <c:v>2026년 3월 02 Mar</c:v>
              </c:pt>
              <c:pt idx="9">
                <c:v>2026년 3월 03 Mar</c:v>
              </c:pt>
              <c:pt idx="10">
                <c:v>2026년 3월 04 Mar</c:v>
              </c:pt>
              <c:pt idx="11">
                <c:v>2026년 3월 05 Mar</c:v>
              </c:pt>
              <c:pt idx="12">
                <c:v>2026년 3월 06 Mar</c:v>
              </c:pt>
              <c:pt idx="13">
                <c:v>2026년 3월 09 Mar</c:v>
              </c:pt>
              <c:pt idx="14">
                <c:v>2026년 3월 10 Mar</c:v>
              </c:pt>
              <c:pt idx="15">
                <c:v>2026년 3월 11 Mar</c:v>
              </c:pt>
              <c:pt idx="16">
                <c:v>2026년 3월 12 Mar</c:v>
              </c:pt>
              <c:pt idx="17">
                <c:v>2026년 3월 13 Mar</c:v>
              </c:pt>
              <c:pt idx="18">
                <c:v>2026년 3월 16 Mar</c:v>
              </c:pt>
            </c:strLit>
          </c:cat>
          <c:val>
            <c:numLit>
              <c:formatCode>General</c:formatCode>
              <c:ptCount val="19"/>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pt idx="15">
                <c:v>13.480000000000018</c:v>
              </c:pt>
              <c:pt idx="16">
                <c:v>13.480000000000018</c:v>
              </c:pt>
              <c:pt idx="17">
                <c:v>13.480000000000018</c:v>
              </c:pt>
              <c:pt idx="18">
                <c:v>13.480000000000018</c:v>
              </c:pt>
            </c:numLit>
          </c:val>
          <c:smooth val="0"/>
          <c:extLst>
            <c:ext xmlns:c16="http://schemas.microsoft.com/office/drawing/2014/chart" uri="{C3380CC4-5D6E-409C-BE32-E72D297353CC}">
              <c16:uniqueId val="{00000006-7923-4D4F-978A-3FBFFD59CCDF}"/>
            </c:ext>
          </c:extLst>
        </c:ser>
        <c:ser>
          <c:idx val="7"/>
          <c:order val="7"/>
          <c:tx>
            <c:v>Avg. JP Spread</c:v>
          </c:tx>
          <c:spPr>
            <a:ln w="12700" cap="rnd">
              <a:solidFill>
                <a:schemeClr val="tx1">
                  <a:lumMod val="75000"/>
                  <a:lumOff val="25000"/>
                </a:schemeClr>
              </a:solidFill>
              <a:round/>
            </a:ln>
            <a:effectLst/>
          </c:spPr>
          <c:marker>
            <c:symbol val="none"/>
          </c:marker>
          <c:cat>
            <c:strLit>
              <c:ptCount val="19"/>
              <c:pt idx="0">
                <c:v>2026년 2월 16 Feb</c:v>
              </c:pt>
              <c:pt idx="1">
                <c:v>2026년 2월 19 Feb</c:v>
              </c:pt>
              <c:pt idx="2">
                <c:v>2026년 2월 20 Feb</c:v>
              </c:pt>
              <c:pt idx="3">
                <c:v>2026년 2월 23 Feb</c:v>
              </c:pt>
              <c:pt idx="4">
                <c:v>2026년 2월 24 Feb</c:v>
              </c:pt>
              <c:pt idx="5">
                <c:v>2026년 2월 25 Feb</c:v>
              </c:pt>
              <c:pt idx="6">
                <c:v>2026년 2월 26 Feb</c:v>
              </c:pt>
              <c:pt idx="7">
                <c:v>2026년 2월 27 Feb</c:v>
              </c:pt>
              <c:pt idx="8">
                <c:v>2026년 3월 02 Mar</c:v>
              </c:pt>
              <c:pt idx="9">
                <c:v>2026년 3월 03 Mar</c:v>
              </c:pt>
              <c:pt idx="10">
                <c:v>2026년 3월 04 Mar</c:v>
              </c:pt>
              <c:pt idx="11">
                <c:v>2026년 3월 05 Mar</c:v>
              </c:pt>
              <c:pt idx="12">
                <c:v>2026년 3월 06 Mar</c:v>
              </c:pt>
              <c:pt idx="13">
                <c:v>2026년 3월 09 Mar</c:v>
              </c:pt>
              <c:pt idx="14">
                <c:v>2026년 3월 10 Mar</c:v>
              </c:pt>
              <c:pt idx="15">
                <c:v>2026년 3월 11 Mar</c:v>
              </c:pt>
              <c:pt idx="16">
                <c:v>2026년 3월 12 Mar</c:v>
              </c:pt>
              <c:pt idx="17">
                <c:v>2026년 3월 13 Mar</c:v>
              </c:pt>
              <c:pt idx="18">
                <c:v>2026년 3월 16 Mar</c:v>
              </c:pt>
            </c:strLit>
          </c:cat>
          <c:val>
            <c:numLit>
              <c:formatCode>General</c:formatCode>
              <c:ptCount val="19"/>
              <c:pt idx="0">
                <c:v>47.139999999999986</c:v>
              </c:pt>
              <c:pt idx="1">
                <c:v>46.550000000000011</c:v>
              </c:pt>
              <c:pt idx="2">
                <c:v>43.319999999999993</c:v>
              </c:pt>
              <c:pt idx="3">
                <c:v>42.829999999999984</c:v>
              </c:pt>
              <c:pt idx="4">
                <c:v>42.139999999999986</c:v>
              </c:pt>
              <c:pt idx="5">
                <c:v>42.430000000000007</c:v>
              </c:pt>
              <c:pt idx="6">
                <c:v>40.699999999999989</c:v>
              </c:pt>
              <c:pt idx="7">
                <c:v>40.829999999999984</c:v>
              </c:pt>
              <c:pt idx="8">
                <c:v>36.620000000000005</c:v>
              </c:pt>
              <c:pt idx="9">
                <c:v>37.960000000000036</c:v>
              </c:pt>
              <c:pt idx="10">
                <c:v>41.350000000000023</c:v>
              </c:pt>
              <c:pt idx="11">
                <c:v>31.840000000000032</c:v>
              </c:pt>
              <c:pt idx="12">
                <c:v>31.909999999999968</c:v>
              </c:pt>
              <c:pt idx="13">
                <c:v>-40.149999999999977</c:v>
              </c:pt>
              <c:pt idx="14">
                <c:v>14.080000000000041</c:v>
              </c:pt>
              <c:pt idx="15">
                <c:v>30.039999999999964</c:v>
              </c:pt>
              <c:pt idx="16">
                <c:v>79.470000000000027</c:v>
              </c:pt>
              <c:pt idx="17">
                <c:v>66.990000000000009</c:v>
              </c:pt>
              <c:pt idx="18">
                <c:v>102.10000000000002</c:v>
              </c:pt>
            </c:numLit>
          </c:val>
          <c:smooth val="0"/>
          <c:extLst>
            <c:ext xmlns:c16="http://schemas.microsoft.com/office/drawing/2014/chart" uri="{C3380CC4-5D6E-409C-BE32-E72D297353CC}">
              <c16:uniqueId val="{00000007-7923-4D4F-978A-3FBFFD59CCDF}"/>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409]d&quot;-&quot;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ayout>
        <c:manualLayout>
          <c:xMode val="edge"/>
          <c:yMode val="edge"/>
          <c:x val="7.288096815715582E-2"/>
          <c:y val="1.7688518196402631E-2"/>
          <c:w val="0.91304378092567584"/>
          <c:h val="7.3819922174609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'26.03.17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'26.03.17 보고자료 (수정중)'!$C$22:$F$22</c:f>
              <c:strCache>
                <c:ptCount val="4"/>
                <c:pt idx="0">
                  <c:v>3/2</c:v>
                </c:pt>
                <c:pt idx="1">
                  <c:v>3/9</c:v>
                </c:pt>
                <c:pt idx="2">
                  <c:v>3/16</c:v>
                </c:pt>
                <c:pt idx="3">
                  <c:v>This week assumption </c:v>
                </c:pt>
              </c:strCache>
            </c:strRef>
          </c:cat>
          <c:val>
            <c:numRef>
              <c:f>'26.03.17 보고자료 (수정중)'!$C$23:$F$23</c:f>
              <c:numCache>
                <c:formatCode>General</c:formatCode>
                <c:ptCount val="4"/>
                <c:pt idx="0">
                  <c:v>45</c:v>
                </c:pt>
                <c:pt idx="1">
                  <c:v>500</c:v>
                </c:pt>
                <c:pt idx="2">
                  <c:v>350</c:v>
                </c:pt>
                <c:pt idx="3">
                  <c:v>300</c:v>
                </c:pt>
              </c:numCache>
            </c:numRef>
          </c:val>
          <c:smooth val="0"/>
          <c:extLst>
            <c:ext xmlns:c16="http://schemas.microsoft.com/office/drawing/2014/chart" uri="{C3380CC4-5D6E-409C-BE32-E72D297353CC}">
              <c16:uniqueId val="{00000000-39B0-4209-85B6-1489C87F801A}"/>
            </c:ext>
          </c:extLst>
        </c:ser>
        <c:ser>
          <c:idx val="1"/>
          <c:order val="1"/>
          <c:tx>
            <c:strRef>
              <c:f>'26.03.17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'26.03.17 보고자료 (수정중)'!$C$22:$F$22</c:f>
              <c:strCache>
                <c:ptCount val="4"/>
                <c:pt idx="0">
                  <c:v>3/2</c:v>
                </c:pt>
                <c:pt idx="1">
                  <c:v>3/9</c:v>
                </c:pt>
                <c:pt idx="2">
                  <c:v>3/16</c:v>
                </c:pt>
                <c:pt idx="3">
                  <c:v>This week assumption </c:v>
                </c:pt>
              </c:strCache>
            </c:strRef>
          </c:cat>
          <c:val>
            <c:numRef>
              <c:f>'26.03.17 보고자료 (수정중)'!$C$24:$F$24</c:f>
              <c:numCache>
                <c:formatCode>General</c:formatCode>
                <c:ptCount val="4"/>
                <c:pt idx="0">
                  <c:v>50</c:v>
                </c:pt>
                <c:pt idx="1">
                  <c:v>600</c:v>
                </c:pt>
                <c:pt idx="2">
                  <c:v>800</c:v>
                </c:pt>
                <c:pt idx="3">
                  <c:v>600</c:v>
                </c:pt>
              </c:numCache>
            </c:numRef>
          </c:val>
          <c:smooth val="0"/>
          <c:extLst>
            <c:ext xmlns:c16="http://schemas.microsoft.com/office/drawing/2014/chart" uri="{C3380CC4-5D6E-409C-BE32-E72D297353CC}">
              <c16:uniqueId val="{00000001-39B0-4209-85B6-1489C87F801A}"/>
            </c:ext>
          </c:extLst>
        </c:ser>
        <c:ser>
          <c:idx val="2"/>
          <c:order val="2"/>
          <c:tx>
            <c:strRef>
              <c:f>'26.03.17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'26.03.17 보고자료 (수정중)'!$C$22:$F$22</c:f>
              <c:strCache>
                <c:ptCount val="4"/>
                <c:pt idx="0">
                  <c:v>3/2</c:v>
                </c:pt>
                <c:pt idx="1">
                  <c:v>3/9</c:v>
                </c:pt>
                <c:pt idx="2">
                  <c:v>3/16</c:v>
                </c:pt>
                <c:pt idx="3">
                  <c:v>This week assumption </c:v>
                </c:pt>
              </c:strCache>
            </c:strRef>
          </c:cat>
          <c:val>
            <c:numRef>
              <c:f>'26.03.17 보고자료 (수정중)'!$C$25:$F$25</c:f>
              <c:numCache>
                <c:formatCode>General</c:formatCode>
                <c:ptCount val="4"/>
                <c:pt idx="0">
                  <c:v>40</c:v>
                </c:pt>
                <c:pt idx="1">
                  <c:v>450</c:v>
                </c:pt>
                <c:pt idx="2">
                  <c:v>350</c:v>
                </c:pt>
                <c:pt idx="3">
                  <c:v>330</c:v>
                </c:pt>
              </c:numCache>
            </c:numRef>
          </c:val>
          <c:smooth val="0"/>
          <c:extLst>
            <c:ext xmlns:c16="http://schemas.microsoft.com/office/drawing/2014/chart" uri="{C3380CC4-5D6E-409C-BE32-E72D297353CC}">
              <c16:uniqueId val="{00000002-39B0-4209-85B6-1489C87F801A}"/>
            </c:ext>
          </c:extLst>
        </c:ser>
        <c:ser>
          <c:idx val="3"/>
          <c:order val="3"/>
          <c:tx>
            <c:strRef>
              <c:f>'26.03.17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'26.03.17 보고자료 (수정중)'!$C$22:$F$22</c:f>
              <c:strCache>
                <c:ptCount val="4"/>
                <c:pt idx="0">
                  <c:v>3/2</c:v>
                </c:pt>
                <c:pt idx="1">
                  <c:v>3/9</c:v>
                </c:pt>
                <c:pt idx="2">
                  <c:v>3/16</c:v>
                </c:pt>
                <c:pt idx="3">
                  <c:v>This week assumption </c:v>
                </c:pt>
              </c:strCache>
            </c:strRef>
          </c:cat>
          <c:val>
            <c:numRef>
              <c:f>'26.03.17 보고자료 (수정중)'!$C$26:$F$26</c:f>
              <c:numCache>
                <c:formatCode>General</c:formatCode>
                <c:ptCount val="4"/>
                <c:pt idx="0">
                  <c:v>65</c:v>
                </c:pt>
                <c:pt idx="1">
                  <c:v>530</c:v>
                </c:pt>
                <c:pt idx="2">
                  <c:v>450</c:v>
                </c:pt>
                <c:pt idx="3">
                  <c:v>400</c:v>
                </c:pt>
              </c:numCache>
            </c:numRef>
          </c:val>
          <c:smooth val="0"/>
          <c:extLst>
            <c:ext xmlns:c16="http://schemas.microsoft.com/office/drawing/2014/chart" uri="{C3380CC4-5D6E-409C-BE32-E72D297353CC}">
              <c16:uniqueId val="{00000003-39B0-4209-85B6-1489C87F801A}"/>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'26.03.17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'26.03.17 보고자료 (수정중)'!$P$22:$R$22</c:f>
              <c:numCache>
                <c:formatCode>m"/"d;@</c:formatCode>
                <c:ptCount val="3"/>
                <c:pt idx="0">
                  <c:v>46083</c:v>
                </c:pt>
                <c:pt idx="1">
                  <c:v>46090</c:v>
                </c:pt>
                <c:pt idx="2">
                  <c:v>46097</c:v>
                </c:pt>
              </c:numCache>
            </c:numRef>
          </c:cat>
          <c:val>
            <c:numRef>
              <c:f>'26.03.17 보고자료 (수정중)'!$P$23:$R$23</c:f>
              <c:numCache>
                <c:formatCode>General</c:formatCode>
                <c:ptCount val="3"/>
                <c:pt idx="0">
                  <c:v>610</c:v>
                </c:pt>
                <c:pt idx="1">
                  <c:v>1450</c:v>
                </c:pt>
                <c:pt idx="2">
                  <c:v>1350</c:v>
                </c:pt>
              </c:numCache>
            </c:numRef>
          </c:val>
          <c:smooth val="0"/>
          <c:extLst>
            <c:ext xmlns:c16="http://schemas.microsoft.com/office/drawing/2014/chart" uri="{C3380CC4-5D6E-409C-BE32-E72D297353CC}">
              <c16:uniqueId val="{00000000-B28A-4394-A15F-89DFE4C6FB7F}"/>
            </c:ext>
          </c:extLst>
        </c:ser>
        <c:ser>
          <c:idx val="1"/>
          <c:order val="1"/>
          <c:tx>
            <c:strRef>
              <c:f>'26.03.17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'26.03.17 보고자료 (수정중)'!$P$22:$R$22</c:f>
              <c:numCache>
                <c:formatCode>m"/"d;@</c:formatCode>
                <c:ptCount val="3"/>
                <c:pt idx="0">
                  <c:v>46083</c:v>
                </c:pt>
                <c:pt idx="1">
                  <c:v>46090</c:v>
                </c:pt>
                <c:pt idx="2">
                  <c:v>46097</c:v>
                </c:pt>
              </c:numCache>
            </c:numRef>
          </c:cat>
          <c:val>
            <c:numRef>
              <c:f>'26.03.17 보고자료 (수정중)'!$P$24:$R$24</c:f>
              <c:numCache>
                <c:formatCode>General</c:formatCode>
                <c:ptCount val="3"/>
                <c:pt idx="0">
                  <c:v>588</c:v>
                </c:pt>
                <c:pt idx="1">
                  <c:v>1130</c:v>
                </c:pt>
                <c:pt idx="2">
                  <c:v>1100</c:v>
                </c:pt>
              </c:numCache>
            </c:numRef>
          </c:val>
          <c:smooth val="0"/>
          <c:extLst>
            <c:ext xmlns:c16="http://schemas.microsoft.com/office/drawing/2014/chart" uri="{C3380CC4-5D6E-409C-BE32-E72D297353CC}">
              <c16:uniqueId val="{00000001-B28A-4394-A15F-89DFE4C6FB7F}"/>
            </c:ext>
          </c:extLst>
        </c:ser>
        <c:ser>
          <c:idx val="2"/>
          <c:order val="2"/>
          <c:tx>
            <c:strRef>
              <c:f>'26.03.17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'26.03.17 보고자료 (수정중)'!$P$22:$R$22</c:f>
              <c:numCache>
                <c:formatCode>m"/"d;@</c:formatCode>
                <c:ptCount val="3"/>
                <c:pt idx="0">
                  <c:v>46083</c:v>
                </c:pt>
                <c:pt idx="1">
                  <c:v>46090</c:v>
                </c:pt>
                <c:pt idx="2">
                  <c:v>46097</c:v>
                </c:pt>
              </c:numCache>
            </c:numRef>
          </c:cat>
          <c:val>
            <c:numRef>
              <c:f>'26.03.17 보고자료 (수정중)'!$P$25:$R$25</c:f>
              <c:numCache>
                <c:formatCode>General</c:formatCode>
                <c:ptCount val="3"/>
                <c:pt idx="0">
                  <c:v>667</c:v>
                </c:pt>
                <c:pt idx="1">
                  <c:v>1350</c:v>
                </c:pt>
                <c:pt idx="2">
                  <c:v>1300</c:v>
                </c:pt>
              </c:numCache>
            </c:numRef>
          </c:val>
          <c:smooth val="0"/>
          <c:extLst>
            <c:ext xmlns:c16="http://schemas.microsoft.com/office/drawing/2014/chart" uri="{C3380CC4-5D6E-409C-BE32-E72D297353CC}">
              <c16:uniqueId val="{00000002-B28A-4394-A15F-89DFE4C6FB7F}"/>
            </c:ext>
          </c:extLst>
        </c:ser>
        <c:ser>
          <c:idx val="3"/>
          <c:order val="3"/>
          <c:tx>
            <c:strRef>
              <c:f>'26.03.17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'26.03.17 보고자료 (수정중)'!$P$22:$R$22</c:f>
              <c:numCache>
                <c:formatCode>m"/"d;@</c:formatCode>
                <c:ptCount val="3"/>
                <c:pt idx="0">
                  <c:v>46083</c:v>
                </c:pt>
                <c:pt idx="1">
                  <c:v>46090</c:v>
                </c:pt>
                <c:pt idx="2">
                  <c:v>46097</c:v>
                </c:pt>
              </c:numCache>
            </c:numRef>
          </c:cat>
          <c:val>
            <c:numRef>
              <c:f>'26.03.17 보고자료 (수정중)'!$P$26:$R$26</c:f>
              <c:numCache>
                <c:formatCode>General</c:formatCode>
                <c:ptCount val="3"/>
                <c:pt idx="0">
                  <c:v>578</c:v>
                </c:pt>
                <c:pt idx="1">
                  <c:v>1100</c:v>
                </c:pt>
                <c:pt idx="2">
                  <c:v>1050</c:v>
                </c:pt>
              </c:numCache>
            </c:numRef>
          </c:val>
          <c:smooth val="0"/>
          <c:extLst>
            <c:ext xmlns:c16="http://schemas.microsoft.com/office/drawing/2014/chart" uri="{C3380CC4-5D6E-409C-BE32-E72D297353CC}">
              <c16:uniqueId val="{00000003-B28A-4394-A15F-89DFE4C6FB7F}"/>
            </c:ext>
          </c:extLst>
        </c:ser>
        <c:ser>
          <c:idx val="4"/>
          <c:order val="4"/>
          <c:tx>
            <c:strRef>
              <c:f>'26.03.17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'26.03.17 보고자료 (수정중)'!$P$22:$R$22</c:f>
              <c:numCache>
                <c:formatCode>m"/"d;@</c:formatCode>
                <c:ptCount val="3"/>
                <c:pt idx="0">
                  <c:v>46083</c:v>
                </c:pt>
                <c:pt idx="1">
                  <c:v>46090</c:v>
                </c:pt>
                <c:pt idx="2">
                  <c:v>46097</c:v>
                </c:pt>
              </c:numCache>
            </c:numRef>
          </c:cat>
          <c:val>
            <c:numRef>
              <c:f>'26.03.17 보고자료 (수정중)'!$P$27:$R$27</c:f>
              <c:numCache>
                <c:formatCode>General</c:formatCode>
                <c:ptCount val="3"/>
              </c:numCache>
            </c:numRef>
          </c:val>
          <c:smooth val="0"/>
          <c:extLst>
            <c:ext xmlns:c16="http://schemas.microsoft.com/office/drawing/2014/chart" uri="{C3380CC4-5D6E-409C-BE32-E72D297353CC}">
              <c16:uniqueId val="{00000004-B28A-4394-A15F-89DFE4C6FB7F}"/>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9.1556876250388095E-2"/>
          <c:y val="1.3485478921430528E-2"/>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57409663844042E-2"/>
          <c:y val="7.3825087611814125E-2"/>
          <c:w val="0.93053868916580484"/>
          <c:h val="0.60375739289602093"/>
        </c:manualLayout>
      </c:layout>
      <c:lineChart>
        <c:grouping val="standard"/>
        <c:varyColors val="0"/>
        <c:ser>
          <c:idx val="0"/>
          <c:order val="0"/>
          <c:tx>
            <c:v>Avg.KR</c:v>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2026년 2월 02 Feb</c:v>
              </c:pt>
              <c:pt idx="1">
                <c:v>2026년 2월 03 Feb</c:v>
              </c:pt>
              <c:pt idx="2">
                <c:v>2026년 2월 04 Feb</c:v>
              </c:pt>
              <c:pt idx="3">
                <c:v>2026년 2월 05 Feb</c:v>
              </c:pt>
              <c:pt idx="4">
                <c:v>2026년 2월 06 Feb</c:v>
              </c:pt>
              <c:pt idx="5">
                <c:v>2026년 2월 09 Feb</c:v>
              </c:pt>
              <c:pt idx="6">
                <c:v>2026년 2월 10 Feb</c:v>
              </c:pt>
              <c:pt idx="7">
                <c:v>2026년 2월 11 Feb</c:v>
              </c:pt>
              <c:pt idx="8">
                <c:v>2026년 2월 12 Feb</c:v>
              </c:pt>
              <c:pt idx="9">
                <c:v>2026년 2월 13 Feb</c:v>
              </c:pt>
              <c:pt idx="10">
                <c:v>2026년 2월 16 Feb</c:v>
              </c:pt>
              <c:pt idx="11">
                <c:v>2026년 2월 19 Feb</c:v>
              </c:pt>
              <c:pt idx="12">
                <c:v>2026년 2월 20 Feb</c:v>
              </c:pt>
              <c:pt idx="13">
                <c:v>2026년 2월 23 Feb</c:v>
              </c:pt>
              <c:pt idx="14">
                <c:v>2026년 2월 24 Feb</c:v>
              </c:pt>
              <c:pt idx="15">
                <c:v>2026년 2월 25 Feb</c:v>
              </c:pt>
              <c:pt idx="16">
                <c:v>2026년 2월 26 Feb</c:v>
              </c:pt>
              <c:pt idx="17">
                <c:v>2026년 2월 27 Feb</c:v>
              </c:pt>
              <c:pt idx="18">
                <c:v>2026년 3월 02 Mar</c:v>
              </c:pt>
            </c:strLit>
          </c:cat>
          <c:val>
            <c:numLit>
              <c:formatCode>General</c:formatCode>
              <c:ptCount val="19"/>
              <c:pt idx="0">
                <c:v>34.100000000000023</c:v>
              </c:pt>
              <c:pt idx="1">
                <c:v>43.069999999999993</c:v>
              </c:pt>
              <c:pt idx="2">
                <c:v>27.879999999999995</c:v>
              </c:pt>
              <c:pt idx="3">
                <c:v>46.839999999999975</c:v>
              </c:pt>
              <c:pt idx="4">
                <c:v>52.20999999999998</c:v>
              </c:pt>
              <c:pt idx="5">
                <c:v>51.009999999999991</c:v>
              </c:pt>
              <c:pt idx="6">
                <c:v>39.610000000000014</c:v>
              </c:pt>
              <c:pt idx="7">
                <c:v>53.829999999999984</c:v>
              </c:pt>
              <c:pt idx="8">
                <c:v>34.279999999999973</c:v>
              </c:pt>
              <c:pt idx="9">
                <c:v>29.410000000000025</c:v>
              </c:pt>
              <c:pt idx="10">
                <c:v>29.139999999999986</c:v>
              </c:pt>
              <c:pt idx="11">
                <c:v>39.550000000000011</c:v>
              </c:pt>
              <c:pt idx="12">
                <c:v>46.819999999999993</c:v>
              </c:pt>
              <c:pt idx="13">
                <c:v>30.829999999999984</c:v>
              </c:pt>
              <c:pt idx="14">
                <c:v>32.139999999999986</c:v>
              </c:pt>
              <c:pt idx="15">
                <c:v>29.430000000000007</c:v>
              </c:pt>
              <c:pt idx="16">
                <c:v>27.699999999999989</c:v>
              </c:pt>
              <c:pt idx="17">
                <c:v>22.829999999999984</c:v>
              </c:pt>
              <c:pt idx="18">
                <c:v>44.120000000000005</c:v>
              </c:pt>
            </c:numLit>
          </c:val>
          <c:smooth val="0"/>
          <c:extLst>
            <c:ext xmlns:c16="http://schemas.microsoft.com/office/drawing/2014/chart" uri="{C3380CC4-5D6E-409C-BE32-E72D297353CC}">
              <c16:uniqueId val="{00000000-7845-48D7-827F-B72FC44597B1}"/>
            </c:ext>
          </c:extLst>
        </c:ser>
        <c:ser>
          <c:idx val="1"/>
          <c:order val="1"/>
          <c:tx>
            <c:v>Avg.SP</c:v>
          </c:tx>
          <c:spPr>
            <a:ln w="9525" cap="rnd">
              <a:solidFill>
                <a:schemeClr val="accent6">
                  <a:lumMod val="75000"/>
                </a:schemeClr>
              </a:solidFill>
              <a:round/>
            </a:ln>
            <a:effectLst/>
          </c:spPr>
          <c:marker>
            <c:symbol val="none"/>
          </c:marker>
          <c:cat>
            <c:strLit>
              <c:ptCount val="19"/>
              <c:pt idx="0">
                <c:v>2026년 2월 02 Feb</c:v>
              </c:pt>
              <c:pt idx="1">
                <c:v>2026년 2월 03 Feb</c:v>
              </c:pt>
              <c:pt idx="2">
                <c:v>2026년 2월 04 Feb</c:v>
              </c:pt>
              <c:pt idx="3">
                <c:v>2026년 2월 05 Feb</c:v>
              </c:pt>
              <c:pt idx="4">
                <c:v>2026년 2월 06 Feb</c:v>
              </c:pt>
              <c:pt idx="5">
                <c:v>2026년 2월 09 Feb</c:v>
              </c:pt>
              <c:pt idx="6">
                <c:v>2026년 2월 10 Feb</c:v>
              </c:pt>
              <c:pt idx="7">
                <c:v>2026년 2월 11 Feb</c:v>
              </c:pt>
              <c:pt idx="8">
                <c:v>2026년 2월 12 Feb</c:v>
              </c:pt>
              <c:pt idx="9">
                <c:v>2026년 2월 13 Feb</c:v>
              </c:pt>
              <c:pt idx="10">
                <c:v>2026년 2월 16 Feb</c:v>
              </c:pt>
              <c:pt idx="11">
                <c:v>2026년 2월 19 Feb</c:v>
              </c:pt>
              <c:pt idx="12">
                <c:v>2026년 2월 20 Feb</c:v>
              </c:pt>
              <c:pt idx="13">
                <c:v>2026년 2월 23 Feb</c:v>
              </c:pt>
              <c:pt idx="14">
                <c:v>2026년 2월 24 Feb</c:v>
              </c:pt>
              <c:pt idx="15">
                <c:v>2026년 2월 25 Feb</c:v>
              </c:pt>
              <c:pt idx="16">
                <c:v>2026년 2월 26 Feb</c:v>
              </c:pt>
              <c:pt idx="17">
                <c:v>2026년 2월 27 Feb</c:v>
              </c:pt>
              <c:pt idx="18">
                <c:v>2026년 3월 02 Mar</c:v>
              </c:pt>
            </c:strLit>
          </c:cat>
          <c:val>
            <c:numLit>
              <c:formatCode>General</c:formatCode>
              <c:ptCount val="19"/>
              <c:pt idx="0">
                <c:v>27.850000000000023</c:v>
              </c:pt>
              <c:pt idx="1">
                <c:v>27.569999999999993</c:v>
              </c:pt>
              <c:pt idx="2">
                <c:v>27.879999999999995</c:v>
              </c:pt>
              <c:pt idx="3">
                <c:v>28.839999999999975</c:v>
              </c:pt>
              <c:pt idx="4">
                <c:v>29.20999999999998</c:v>
              </c:pt>
              <c:pt idx="5">
                <c:v>27.259999999999991</c:v>
              </c:pt>
              <c:pt idx="6">
                <c:v>24.610000000000014</c:v>
              </c:pt>
              <c:pt idx="7">
                <c:v>21.329999999999984</c:v>
              </c:pt>
              <c:pt idx="8">
                <c:v>18.279999999999973</c:v>
              </c:pt>
              <c:pt idx="9">
                <c:v>20.410000000000025</c:v>
              </c:pt>
              <c:pt idx="10">
                <c:v>18.139999999999986</c:v>
              </c:pt>
              <c:pt idx="11">
                <c:v>18.550000000000011</c:v>
              </c:pt>
              <c:pt idx="12">
                <c:v>17.319999999999993</c:v>
              </c:pt>
              <c:pt idx="13">
                <c:v>16.829999999999984</c:v>
              </c:pt>
              <c:pt idx="14">
                <c:v>16.139999999999986</c:v>
              </c:pt>
              <c:pt idx="15">
                <c:v>16.430000000000007</c:v>
              </c:pt>
              <c:pt idx="16">
                <c:v>14.699999999999989</c:v>
              </c:pt>
              <c:pt idx="17">
                <c:v>13.829999999999984</c:v>
              </c:pt>
              <c:pt idx="18">
                <c:v>16.620000000000005</c:v>
              </c:pt>
            </c:numLit>
          </c:val>
          <c:smooth val="0"/>
          <c:extLst>
            <c:ext xmlns:c16="http://schemas.microsoft.com/office/drawing/2014/chart" uri="{C3380CC4-5D6E-409C-BE32-E72D297353CC}">
              <c16:uniqueId val="{00000001-7845-48D7-827F-B72FC44597B1}"/>
            </c:ext>
          </c:extLst>
        </c:ser>
        <c:ser>
          <c:idx val="2"/>
          <c:order val="2"/>
          <c:tx>
            <c:v>Avg.ZS</c:v>
          </c:tx>
          <c:spPr>
            <a:ln w="9525" cap="rnd">
              <a:solidFill>
                <a:schemeClr val="accent1">
                  <a:lumMod val="75000"/>
                </a:schemeClr>
              </a:solidFill>
              <a:round/>
            </a:ln>
            <a:effectLst/>
          </c:spPr>
          <c:marker>
            <c:symbol val="none"/>
          </c:marker>
          <c:cat>
            <c:strLit>
              <c:ptCount val="19"/>
              <c:pt idx="0">
                <c:v>2026년 2월 02 Feb</c:v>
              </c:pt>
              <c:pt idx="1">
                <c:v>2026년 2월 03 Feb</c:v>
              </c:pt>
              <c:pt idx="2">
                <c:v>2026년 2월 04 Feb</c:v>
              </c:pt>
              <c:pt idx="3">
                <c:v>2026년 2월 05 Feb</c:v>
              </c:pt>
              <c:pt idx="4">
                <c:v>2026년 2월 06 Feb</c:v>
              </c:pt>
              <c:pt idx="5">
                <c:v>2026년 2월 09 Feb</c:v>
              </c:pt>
              <c:pt idx="6">
                <c:v>2026년 2월 10 Feb</c:v>
              </c:pt>
              <c:pt idx="7">
                <c:v>2026년 2월 11 Feb</c:v>
              </c:pt>
              <c:pt idx="8">
                <c:v>2026년 2월 12 Feb</c:v>
              </c:pt>
              <c:pt idx="9">
                <c:v>2026년 2월 13 Feb</c:v>
              </c:pt>
              <c:pt idx="10">
                <c:v>2026년 2월 16 Feb</c:v>
              </c:pt>
              <c:pt idx="11">
                <c:v>2026년 2월 19 Feb</c:v>
              </c:pt>
              <c:pt idx="12">
                <c:v>2026년 2월 20 Feb</c:v>
              </c:pt>
              <c:pt idx="13">
                <c:v>2026년 2월 23 Feb</c:v>
              </c:pt>
              <c:pt idx="14">
                <c:v>2026년 2월 24 Feb</c:v>
              </c:pt>
              <c:pt idx="15">
                <c:v>2026년 2월 25 Feb</c:v>
              </c:pt>
              <c:pt idx="16">
                <c:v>2026년 2월 26 Feb</c:v>
              </c:pt>
              <c:pt idx="17">
                <c:v>2026년 2월 27 Feb</c:v>
              </c:pt>
              <c:pt idx="18">
                <c:v>2026년 3월 02 Mar</c:v>
              </c:pt>
            </c:strLit>
          </c:cat>
          <c:val>
            <c:numLit>
              <c:formatCode>General</c:formatCode>
              <c:ptCount val="19"/>
              <c:pt idx="0">
                <c:v>35.850000000000023</c:v>
              </c:pt>
              <c:pt idx="1">
                <c:v>34.569999999999993</c:v>
              </c:pt>
              <c:pt idx="2">
                <c:v>33.879999999999995</c:v>
              </c:pt>
              <c:pt idx="3">
                <c:v>34.839999999999975</c:v>
              </c:pt>
              <c:pt idx="4">
                <c:v>35.20999999999998</c:v>
              </c:pt>
              <c:pt idx="5">
                <c:v>34.259999999999991</c:v>
              </c:pt>
              <c:pt idx="6">
                <c:v>33.610000000000014</c:v>
              </c:pt>
              <c:pt idx="7">
                <c:v>31.329999999999984</c:v>
              </c:pt>
              <c:pt idx="8">
                <c:v>31.279999999999973</c:v>
              </c:pt>
              <c:pt idx="9">
                <c:v>35.410000000000025</c:v>
              </c:pt>
              <c:pt idx="10">
                <c:v>35.139999999999986</c:v>
              </c:pt>
              <c:pt idx="11">
                <c:v>32.550000000000011</c:v>
              </c:pt>
              <c:pt idx="12">
                <c:v>26.319999999999993</c:v>
              </c:pt>
              <c:pt idx="13">
                <c:v>22.829999999999984</c:v>
              </c:pt>
              <c:pt idx="14">
                <c:v>20.139999999999986</c:v>
              </c:pt>
              <c:pt idx="15">
                <c:v>17.430000000000007</c:v>
              </c:pt>
              <c:pt idx="16">
                <c:v>17.699999999999989</c:v>
              </c:pt>
              <c:pt idx="17">
                <c:v>17.829999999999984</c:v>
              </c:pt>
              <c:pt idx="18">
                <c:v>16.620000000000005</c:v>
              </c:pt>
            </c:numLit>
          </c:val>
          <c:smooth val="0"/>
          <c:extLst>
            <c:ext xmlns:c16="http://schemas.microsoft.com/office/drawing/2014/chart" uri="{C3380CC4-5D6E-409C-BE32-E72D297353CC}">
              <c16:uniqueId val="{00000002-7845-48D7-827F-B72FC44597B1}"/>
            </c:ext>
          </c:extLst>
        </c:ser>
        <c:ser>
          <c:idx val="3"/>
          <c:order val="3"/>
          <c:tx>
            <c:v>Avg.KR '25 25%</c:v>
          </c:tx>
          <c:spPr>
            <a:ln w="12700" cap="rnd">
              <a:solidFill>
                <a:srgbClr val="C00000"/>
              </a:solidFill>
              <a:prstDash val="dash"/>
              <a:round/>
            </a:ln>
            <a:effectLst/>
          </c:spPr>
          <c:marker>
            <c:symbol val="none"/>
          </c:marker>
          <c:cat>
            <c:strLit>
              <c:ptCount val="19"/>
              <c:pt idx="0">
                <c:v>2026년 2월 02 Feb</c:v>
              </c:pt>
              <c:pt idx="1">
                <c:v>2026년 2월 03 Feb</c:v>
              </c:pt>
              <c:pt idx="2">
                <c:v>2026년 2월 04 Feb</c:v>
              </c:pt>
              <c:pt idx="3">
                <c:v>2026년 2월 05 Feb</c:v>
              </c:pt>
              <c:pt idx="4">
                <c:v>2026년 2월 06 Feb</c:v>
              </c:pt>
              <c:pt idx="5">
                <c:v>2026년 2월 09 Feb</c:v>
              </c:pt>
              <c:pt idx="6">
                <c:v>2026년 2월 10 Feb</c:v>
              </c:pt>
              <c:pt idx="7">
                <c:v>2026년 2월 11 Feb</c:v>
              </c:pt>
              <c:pt idx="8">
                <c:v>2026년 2월 12 Feb</c:v>
              </c:pt>
              <c:pt idx="9">
                <c:v>2026년 2월 13 Feb</c:v>
              </c:pt>
              <c:pt idx="10">
                <c:v>2026년 2월 16 Feb</c:v>
              </c:pt>
              <c:pt idx="11">
                <c:v>2026년 2월 19 Feb</c:v>
              </c:pt>
              <c:pt idx="12">
                <c:v>2026년 2월 20 Feb</c:v>
              </c:pt>
              <c:pt idx="13">
                <c:v>2026년 2월 23 Feb</c:v>
              </c:pt>
              <c:pt idx="14">
                <c:v>2026년 2월 24 Feb</c:v>
              </c:pt>
              <c:pt idx="15">
                <c:v>2026년 2월 25 Feb</c:v>
              </c:pt>
              <c:pt idx="16">
                <c:v>2026년 2월 26 Feb</c:v>
              </c:pt>
              <c:pt idx="17">
                <c:v>2026년 2월 27 Feb</c:v>
              </c:pt>
              <c:pt idx="18">
                <c:v>2026년 3월 02 Mar</c:v>
              </c:pt>
            </c:strLit>
          </c:cat>
          <c:val>
            <c:numLit>
              <c:formatCode>General</c:formatCode>
              <c:ptCount val="19"/>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pt idx="15">
                <c:v>23.747500000000002</c:v>
              </c:pt>
              <c:pt idx="16">
                <c:v>23.747500000000002</c:v>
              </c:pt>
              <c:pt idx="17">
                <c:v>23.747500000000002</c:v>
              </c:pt>
              <c:pt idx="18">
                <c:v>23.747500000000002</c:v>
              </c:pt>
            </c:numLit>
          </c:val>
          <c:smooth val="0"/>
          <c:extLst>
            <c:ext xmlns:c16="http://schemas.microsoft.com/office/drawing/2014/chart" uri="{C3380CC4-5D6E-409C-BE32-E72D297353CC}">
              <c16:uniqueId val="{00000003-7845-48D7-827F-B72FC44597B1}"/>
            </c:ext>
          </c:extLst>
        </c:ser>
        <c:ser>
          <c:idx val="4"/>
          <c:order val="4"/>
          <c:tx>
            <c:v>Avg.KR '25 75%</c:v>
          </c:tx>
          <c:spPr>
            <a:ln w="12700" cap="rnd">
              <a:solidFill>
                <a:srgbClr val="C00000"/>
              </a:solidFill>
              <a:prstDash val="dash"/>
              <a:round/>
            </a:ln>
            <a:effectLst/>
          </c:spPr>
          <c:marker>
            <c:symbol val="none"/>
          </c:marker>
          <c:cat>
            <c:strLit>
              <c:ptCount val="19"/>
              <c:pt idx="0">
                <c:v>2026년 2월 02 Feb</c:v>
              </c:pt>
              <c:pt idx="1">
                <c:v>2026년 2월 03 Feb</c:v>
              </c:pt>
              <c:pt idx="2">
                <c:v>2026년 2월 04 Feb</c:v>
              </c:pt>
              <c:pt idx="3">
                <c:v>2026년 2월 05 Feb</c:v>
              </c:pt>
              <c:pt idx="4">
                <c:v>2026년 2월 06 Feb</c:v>
              </c:pt>
              <c:pt idx="5">
                <c:v>2026년 2월 09 Feb</c:v>
              </c:pt>
              <c:pt idx="6">
                <c:v>2026년 2월 10 Feb</c:v>
              </c:pt>
              <c:pt idx="7">
                <c:v>2026년 2월 11 Feb</c:v>
              </c:pt>
              <c:pt idx="8">
                <c:v>2026년 2월 12 Feb</c:v>
              </c:pt>
              <c:pt idx="9">
                <c:v>2026년 2월 13 Feb</c:v>
              </c:pt>
              <c:pt idx="10">
                <c:v>2026년 2월 16 Feb</c:v>
              </c:pt>
              <c:pt idx="11">
                <c:v>2026년 2월 19 Feb</c:v>
              </c:pt>
              <c:pt idx="12">
                <c:v>2026년 2월 20 Feb</c:v>
              </c:pt>
              <c:pt idx="13">
                <c:v>2026년 2월 23 Feb</c:v>
              </c:pt>
              <c:pt idx="14">
                <c:v>2026년 2월 24 Feb</c:v>
              </c:pt>
              <c:pt idx="15">
                <c:v>2026년 2월 25 Feb</c:v>
              </c:pt>
              <c:pt idx="16">
                <c:v>2026년 2월 26 Feb</c:v>
              </c:pt>
              <c:pt idx="17">
                <c:v>2026년 2월 27 Feb</c:v>
              </c:pt>
              <c:pt idx="18">
                <c:v>2026년 3월 02 Mar</c:v>
              </c:pt>
            </c:strLit>
          </c:cat>
          <c:val>
            <c:numLit>
              <c:formatCode>General</c:formatCode>
              <c:ptCount val="19"/>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pt idx="15">
                <c:v>51.122500000000002</c:v>
              </c:pt>
              <c:pt idx="16">
                <c:v>51.122500000000002</c:v>
              </c:pt>
              <c:pt idx="17">
                <c:v>51.122500000000002</c:v>
              </c:pt>
              <c:pt idx="18">
                <c:v>51.122500000000002</c:v>
              </c:pt>
            </c:numLit>
          </c:val>
          <c:smooth val="0"/>
          <c:extLst>
            <c:ext xmlns:c16="http://schemas.microsoft.com/office/drawing/2014/chart" uri="{C3380CC4-5D6E-409C-BE32-E72D297353CC}">
              <c16:uniqueId val="{00000004-7845-48D7-827F-B72FC44597B1}"/>
            </c:ext>
          </c:extLst>
        </c:ser>
        <c:ser>
          <c:idx val="5"/>
          <c:order val="5"/>
          <c:tx>
            <c:v>Avg.SP '25 25%</c:v>
          </c:tx>
          <c:spPr>
            <a:ln w="9525" cap="rnd">
              <a:solidFill>
                <a:schemeClr val="accent6">
                  <a:lumMod val="75000"/>
                </a:schemeClr>
              </a:solidFill>
              <a:prstDash val="sysDash"/>
              <a:round/>
            </a:ln>
            <a:effectLst/>
          </c:spPr>
          <c:marker>
            <c:symbol val="none"/>
          </c:marker>
          <c:cat>
            <c:strLit>
              <c:ptCount val="19"/>
              <c:pt idx="0">
                <c:v>2026년 2월 02 Feb</c:v>
              </c:pt>
              <c:pt idx="1">
                <c:v>2026년 2월 03 Feb</c:v>
              </c:pt>
              <c:pt idx="2">
                <c:v>2026년 2월 04 Feb</c:v>
              </c:pt>
              <c:pt idx="3">
                <c:v>2026년 2월 05 Feb</c:v>
              </c:pt>
              <c:pt idx="4">
                <c:v>2026년 2월 06 Feb</c:v>
              </c:pt>
              <c:pt idx="5">
                <c:v>2026년 2월 09 Feb</c:v>
              </c:pt>
              <c:pt idx="6">
                <c:v>2026년 2월 10 Feb</c:v>
              </c:pt>
              <c:pt idx="7">
                <c:v>2026년 2월 11 Feb</c:v>
              </c:pt>
              <c:pt idx="8">
                <c:v>2026년 2월 12 Feb</c:v>
              </c:pt>
              <c:pt idx="9">
                <c:v>2026년 2월 13 Feb</c:v>
              </c:pt>
              <c:pt idx="10">
                <c:v>2026년 2월 16 Feb</c:v>
              </c:pt>
              <c:pt idx="11">
                <c:v>2026년 2월 19 Feb</c:v>
              </c:pt>
              <c:pt idx="12">
                <c:v>2026년 2월 20 Feb</c:v>
              </c:pt>
              <c:pt idx="13">
                <c:v>2026년 2월 23 Feb</c:v>
              </c:pt>
              <c:pt idx="14">
                <c:v>2026년 2월 24 Feb</c:v>
              </c:pt>
              <c:pt idx="15">
                <c:v>2026년 2월 25 Feb</c:v>
              </c:pt>
              <c:pt idx="16">
                <c:v>2026년 2월 26 Feb</c:v>
              </c:pt>
              <c:pt idx="17">
                <c:v>2026년 2월 27 Feb</c:v>
              </c:pt>
              <c:pt idx="18">
                <c:v>2026년 3월 02 Mar</c:v>
              </c:pt>
            </c:strLit>
          </c:cat>
          <c:val>
            <c:numLit>
              <c:formatCode>General</c:formatCode>
              <c:ptCount val="19"/>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pt idx="15">
                <c:v>10.920000000000016</c:v>
              </c:pt>
              <c:pt idx="16">
                <c:v>10.920000000000016</c:v>
              </c:pt>
              <c:pt idx="17">
                <c:v>10.920000000000016</c:v>
              </c:pt>
              <c:pt idx="18">
                <c:v>10.920000000000016</c:v>
              </c:pt>
            </c:numLit>
          </c:val>
          <c:smooth val="0"/>
          <c:extLst>
            <c:ext xmlns:c16="http://schemas.microsoft.com/office/drawing/2014/chart" uri="{C3380CC4-5D6E-409C-BE32-E72D297353CC}">
              <c16:uniqueId val="{00000005-7845-48D7-827F-B72FC44597B1}"/>
            </c:ext>
          </c:extLst>
        </c:ser>
        <c:ser>
          <c:idx val="6"/>
          <c:order val="6"/>
          <c:tx>
            <c:v>Avg.SP '25 75%</c:v>
          </c:tx>
          <c:spPr>
            <a:ln w="9525" cap="rnd">
              <a:solidFill>
                <a:schemeClr val="accent6">
                  <a:lumMod val="75000"/>
                </a:schemeClr>
              </a:solidFill>
              <a:prstDash val="sysDash"/>
              <a:round/>
            </a:ln>
            <a:effectLst/>
          </c:spPr>
          <c:marker>
            <c:symbol val="none"/>
          </c:marker>
          <c:cat>
            <c:strLit>
              <c:ptCount val="19"/>
              <c:pt idx="0">
                <c:v>2026년 2월 02 Feb</c:v>
              </c:pt>
              <c:pt idx="1">
                <c:v>2026년 2월 03 Feb</c:v>
              </c:pt>
              <c:pt idx="2">
                <c:v>2026년 2월 04 Feb</c:v>
              </c:pt>
              <c:pt idx="3">
                <c:v>2026년 2월 05 Feb</c:v>
              </c:pt>
              <c:pt idx="4">
                <c:v>2026년 2월 06 Feb</c:v>
              </c:pt>
              <c:pt idx="5">
                <c:v>2026년 2월 09 Feb</c:v>
              </c:pt>
              <c:pt idx="6">
                <c:v>2026년 2월 10 Feb</c:v>
              </c:pt>
              <c:pt idx="7">
                <c:v>2026년 2월 11 Feb</c:v>
              </c:pt>
              <c:pt idx="8">
                <c:v>2026년 2월 12 Feb</c:v>
              </c:pt>
              <c:pt idx="9">
                <c:v>2026년 2월 13 Feb</c:v>
              </c:pt>
              <c:pt idx="10">
                <c:v>2026년 2월 16 Feb</c:v>
              </c:pt>
              <c:pt idx="11">
                <c:v>2026년 2월 19 Feb</c:v>
              </c:pt>
              <c:pt idx="12">
                <c:v>2026년 2월 20 Feb</c:v>
              </c:pt>
              <c:pt idx="13">
                <c:v>2026년 2월 23 Feb</c:v>
              </c:pt>
              <c:pt idx="14">
                <c:v>2026년 2월 24 Feb</c:v>
              </c:pt>
              <c:pt idx="15">
                <c:v>2026년 2월 25 Feb</c:v>
              </c:pt>
              <c:pt idx="16">
                <c:v>2026년 2월 26 Feb</c:v>
              </c:pt>
              <c:pt idx="17">
                <c:v>2026년 2월 27 Feb</c:v>
              </c:pt>
              <c:pt idx="18">
                <c:v>2026년 3월 02 Mar</c:v>
              </c:pt>
            </c:strLit>
          </c:cat>
          <c:val>
            <c:numLit>
              <c:formatCode>General</c:formatCode>
              <c:ptCount val="19"/>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pt idx="15">
                <c:v>13.480000000000018</c:v>
              </c:pt>
              <c:pt idx="16">
                <c:v>13.480000000000018</c:v>
              </c:pt>
              <c:pt idx="17">
                <c:v>13.480000000000018</c:v>
              </c:pt>
              <c:pt idx="18">
                <c:v>13.480000000000018</c:v>
              </c:pt>
            </c:numLit>
          </c:val>
          <c:smooth val="0"/>
          <c:extLst>
            <c:ext xmlns:c16="http://schemas.microsoft.com/office/drawing/2014/chart" uri="{C3380CC4-5D6E-409C-BE32-E72D297353CC}">
              <c16:uniqueId val="{00000006-7845-48D7-827F-B72FC44597B1}"/>
            </c:ext>
          </c:extLst>
        </c:ser>
        <c:ser>
          <c:idx val="7"/>
          <c:order val="7"/>
          <c:tx>
            <c:v>Avg. JP Spread</c:v>
          </c:tx>
          <c:spPr>
            <a:ln w="12700" cap="rnd">
              <a:solidFill>
                <a:schemeClr val="tx1">
                  <a:lumMod val="75000"/>
                  <a:lumOff val="25000"/>
                </a:schemeClr>
              </a:solidFill>
              <a:round/>
            </a:ln>
            <a:effectLst/>
          </c:spPr>
          <c:marker>
            <c:symbol val="none"/>
          </c:marker>
          <c:cat>
            <c:strLit>
              <c:ptCount val="19"/>
              <c:pt idx="0">
                <c:v>2026년 2월 02 Feb</c:v>
              </c:pt>
              <c:pt idx="1">
                <c:v>2026년 2월 03 Feb</c:v>
              </c:pt>
              <c:pt idx="2">
                <c:v>2026년 2월 04 Feb</c:v>
              </c:pt>
              <c:pt idx="3">
                <c:v>2026년 2월 05 Feb</c:v>
              </c:pt>
              <c:pt idx="4">
                <c:v>2026년 2월 06 Feb</c:v>
              </c:pt>
              <c:pt idx="5">
                <c:v>2026년 2월 09 Feb</c:v>
              </c:pt>
              <c:pt idx="6">
                <c:v>2026년 2월 10 Feb</c:v>
              </c:pt>
              <c:pt idx="7">
                <c:v>2026년 2월 11 Feb</c:v>
              </c:pt>
              <c:pt idx="8">
                <c:v>2026년 2월 12 Feb</c:v>
              </c:pt>
              <c:pt idx="9">
                <c:v>2026년 2월 13 Feb</c:v>
              </c:pt>
              <c:pt idx="10">
                <c:v>2026년 2월 16 Feb</c:v>
              </c:pt>
              <c:pt idx="11">
                <c:v>2026년 2월 19 Feb</c:v>
              </c:pt>
              <c:pt idx="12">
                <c:v>2026년 2월 20 Feb</c:v>
              </c:pt>
              <c:pt idx="13">
                <c:v>2026년 2월 23 Feb</c:v>
              </c:pt>
              <c:pt idx="14">
                <c:v>2026년 2월 24 Feb</c:v>
              </c:pt>
              <c:pt idx="15">
                <c:v>2026년 2월 25 Feb</c:v>
              </c:pt>
              <c:pt idx="16">
                <c:v>2026년 2월 26 Feb</c:v>
              </c:pt>
              <c:pt idx="17">
                <c:v>2026년 2월 27 Feb</c:v>
              </c:pt>
              <c:pt idx="18">
                <c:v>2026년 3월 02 Mar</c:v>
              </c:pt>
            </c:strLit>
          </c:cat>
          <c:val>
            <c:numLit>
              <c:formatCode>General</c:formatCode>
              <c:ptCount val="19"/>
              <c:pt idx="0">
                <c:v>55.850000000000023</c:v>
              </c:pt>
              <c:pt idx="1">
                <c:v>55.569999999999993</c:v>
              </c:pt>
              <c:pt idx="2">
                <c:v>55.879999999999995</c:v>
              </c:pt>
              <c:pt idx="3">
                <c:v>55.839999999999975</c:v>
              </c:pt>
              <c:pt idx="4">
                <c:v>55.20999999999998</c:v>
              </c:pt>
              <c:pt idx="5">
                <c:v>54.259999999999991</c:v>
              </c:pt>
              <c:pt idx="6">
                <c:v>53.610000000000014</c:v>
              </c:pt>
              <c:pt idx="7">
                <c:v>53.329999999999984</c:v>
              </c:pt>
              <c:pt idx="8">
                <c:v>50.279999999999973</c:v>
              </c:pt>
              <c:pt idx="9">
                <c:v>48.410000000000025</c:v>
              </c:pt>
              <c:pt idx="10">
                <c:v>47.139999999999986</c:v>
              </c:pt>
              <c:pt idx="11">
                <c:v>46.550000000000011</c:v>
              </c:pt>
              <c:pt idx="12">
                <c:v>43.319999999999993</c:v>
              </c:pt>
              <c:pt idx="13">
                <c:v>42.829999999999984</c:v>
              </c:pt>
              <c:pt idx="14">
                <c:v>42.139999999999986</c:v>
              </c:pt>
              <c:pt idx="15">
                <c:v>42.430000000000007</c:v>
              </c:pt>
              <c:pt idx="16">
                <c:v>40.699999999999989</c:v>
              </c:pt>
              <c:pt idx="17">
                <c:v>40.829999999999984</c:v>
              </c:pt>
              <c:pt idx="18">
                <c:v>36.620000000000005</c:v>
              </c:pt>
            </c:numLit>
          </c:val>
          <c:smooth val="0"/>
          <c:extLst>
            <c:ext xmlns:c16="http://schemas.microsoft.com/office/drawing/2014/chart" uri="{C3380CC4-5D6E-409C-BE32-E72D297353CC}">
              <c16:uniqueId val="{00000007-7845-48D7-827F-B72FC44597B1}"/>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409]d&quot;-&quot;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ayout>
        <c:manualLayout>
          <c:xMode val="edge"/>
          <c:yMode val="edge"/>
          <c:x val="5.0692145834152033E-2"/>
          <c:y val="2.3789075337210439E-3"/>
          <c:w val="0.91304378092567584"/>
          <c:h val="7.3819922174609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'26.03.03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'26.03.03 보고자료 (수정중)'!$C$22:$F$22</c:f>
              <c:strCache>
                <c:ptCount val="4"/>
                <c:pt idx="0">
                  <c:v>2026-02-16
(FEB DELIVERY)</c:v>
                </c:pt>
                <c:pt idx="1">
                  <c:v>2026-02-23
(MAR DELIVERY)</c:v>
                </c:pt>
                <c:pt idx="2">
                  <c:v>2026-03-02
</c:v>
                </c:pt>
                <c:pt idx="3">
                  <c:v>This week assumption </c:v>
                </c:pt>
              </c:strCache>
            </c:strRef>
          </c:cat>
          <c:val>
            <c:numRef>
              <c:f>'26.03.03 보고자료 (수정중)'!$C$23:$F$23</c:f>
              <c:numCache>
                <c:formatCode>General</c:formatCode>
                <c:ptCount val="4"/>
                <c:pt idx="0">
                  <c:v>36</c:v>
                </c:pt>
                <c:pt idx="1">
                  <c:v>25</c:v>
                </c:pt>
                <c:pt idx="2">
                  <c:v>45</c:v>
                </c:pt>
                <c:pt idx="3">
                  <c:v>45</c:v>
                </c:pt>
              </c:numCache>
            </c:numRef>
          </c:val>
          <c:smooth val="0"/>
          <c:extLst>
            <c:ext xmlns:c16="http://schemas.microsoft.com/office/drawing/2014/chart" uri="{C3380CC4-5D6E-409C-BE32-E72D297353CC}">
              <c16:uniqueId val="{00000000-EB0E-43AE-99F9-29FA27430A6B}"/>
            </c:ext>
          </c:extLst>
        </c:ser>
        <c:ser>
          <c:idx val="1"/>
          <c:order val="1"/>
          <c:tx>
            <c:strRef>
              <c:f>'26.03.03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'26.03.03 보고자료 (수정중)'!$C$22:$F$22</c:f>
              <c:strCache>
                <c:ptCount val="4"/>
                <c:pt idx="0">
                  <c:v>2026-02-16
(FEB DELIVERY)</c:v>
                </c:pt>
                <c:pt idx="1">
                  <c:v>2026-02-23
(MAR DELIVERY)</c:v>
                </c:pt>
                <c:pt idx="2">
                  <c:v>2026-03-02
</c:v>
                </c:pt>
                <c:pt idx="3">
                  <c:v>This week assumption </c:v>
                </c:pt>
              </c:strCache>
            </c:strRef>
          </c:cat>
          <c:val>
            <c:numRef>
              <c:f>'26.03.03 보고자료 (수정중)'!$C$24:$F$24</c:f>
              <c:numCache>
                <c:formatCode>General</c:formatCode>
                <c:ptCount val="4"/>
                <c:pt idx="0">
                  <c:v>35</c:v>
                </c:pt>
                <c:pt idx="1">
                  <c:v>25</c:v>
                </c:pt>
                <c:pt idx="2">
                  <c:v>50</c:v>
                </c:pt>
                <c:pt idx="3">
                  <c:v>50</c:v>
                </c:pt>
              </c:numCache>
            </c:numRef>
          </c:val>
          <c:smooth val="0"/>
          <c:extLst>
            <c:ext xmlns:c16="http://schemas.microsoft.com/office/drawing/2014/chart" uri="{C3380CC4-5D6E-409C-BE32-E72D297353CC}">
              <c16:uniqueId val="{00000001-EB0E-43AE-99F9-29FA27430A6B}"/>
            </c:ext>
          </c:extLst>
        </c:ser>
        <c:ser>
          <c:idx val="2"/>
          <c:order val="2"/>
          <c:tx>
            <c:strRef>
              <c:f>'26.03.03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'26.03.03 보고자료 (수정중)'!$C$22:$F$22</c:f>
              <c:strCache>
                <c:ptCount val="4"/>
                <c:pt idx="0">
                  <c:v>2026-02-16
(FEB DELIVERY)</c:v>
                </c:pt>
                <c:pt idx="1">
                  <c:v>2026-02-23
(MAR DELIVERY)</c:v>
                </c:pt>
                <c:pt idx="2">
                  <c:v>2026-03-02
</c:v>
                </c:pt>
                <c:pt idx="3">
                  <c:v>This week assumption </c:v>
                </c:pt>
              </c:strCache>
            </c:strRef>
          </c:cat>
          <c:val>
            <c:numRef>
              <c:f>'26.03.03 보고자료 (수정중)'!$C$25:$F$25</c:f>
              <c:numCache>
                <c:formatCode>General</c:formatCode>
                <c:ptCount val="4"/>
                <c:pt idx="0">
                  <c:v>33</c:v>
                </c:pt>
                <c:pt idx="1">
                  <c:v>25</c:v>
                </c:pt>
                <c:pt idx="2">
                  <c:v>40</c:v>
                </c:pt>
                <c:pt idx="3">
                  <c:v>40</c:v>
                </c:pt>
              </c:numCache>
            </c:numRef>
          </c:val>
          <c:smooth val="0"/>
          <c:extLst>
            <c:ext xmlns:c16="http://schemas.microsoft.com/office/drawing/2014/chart" uri="{C3380CC4-5D6E-409C-BE32-E72D297353CC}">
              <c16:uniqueId val="{00000002-EB0E-43AE-99F9-29FA27430A6B}"/>
            </c:ext>
          </c:extLst>
        </c:ser>
        <c:ser>
          <c:idx val="3"/>
          <c:order val="3"/>
          <c:tx>
            <c:strRef>
              <c:f>'26.03.03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'26.03.03 보고자료 (수정중)'!$C$22:$F$22</c:f>
              <c:strCache>
                <c:ptCount val="4"/>
                <c:pt idx="0">
                  <c:v>2026-02-16
(FEB DELIVERY)</c:v>
                </c:pt>
                <c:pt idx="1">
                  <c:v>2026-02-23
(MAR DELIVERY)</c:v>
                </c:pt>
                <c:pt idx="2">
                  <c:v>2026-03-02
</c:v>
                </c:pt>
                <c:pt idx="3">
                  <c:v>This week assumption </c:v>
                </c:pt>
              </c:strCache>
            </c:strRef>
          </c:cat>
          <c:val>
            <c:numRef>
              <c:f>'26.03.03 보고자료 (수정중)'!$C$26:$F$26</c:f>
              <c:numCache>
                <c:formatCode>General</c:formatCode>
                <c:ptCount val="4"/>
                <c:pt idx="0">
                  <c:v>50</c:v>
                </c:pt>
                <c:pt idx="1">
                  <c:v>45</c:v>
                </c:pt>
                <c:pt idx="2">
                  <c:v>65</c:v>
                </c:pt>
                <c:pt idx="3">
                  <c:v>65</c:v>
                </c:pt>
              </c:numCache>
            </c:numRef>
          </c:val>
          <c:smooth val="0"/>
          <c:extLst>
            <c:ext xmlns:c16="http://schemas.microsoft.com/office/drawing/2014/chart" uri="{C3380CC4-5D6E-409C-BE32-E72D297353CC}">
              <c16:uniqueId val="{00000003-EB0E-43AE-99F9-29FA27430A6B}"/>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'26.03.03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'26.03.03 보고자료 (수정중)'!$P$22:$R$22</c:f>
              <c:numCache>
                <c:formatCode>m"/"d;@</c:formatCode>
                <c:ptCount val="3"/>
                <c:pt idx="0">
                  <c:v>46069</c:v>
                </c:pt>
                <c:pt idx="1">
                  <c:v>46076</c:v>
                </c:pt>
                <c:pt idx="2">
                  <c:v>46083</c:v>
                </c:pt>
              </c:numCache>
            </c:numRef>
          </c:cat>
          <c:val>
            <c:numRef>
              <c:f>'26.03.03 보고자료 (수정중)'!$P$23:$R$23</c:f>
              <c:numCache>
                <c:formatCode>General</c:formatCode>
                <c:ptCount val="3"/>
                <c:pt idx="0">
                  <c:v>490</c:v>
                </c:pt>
                <c:pt idx="1">
                  <c:v>470</c:v>
                </c:pt>
                <c:pt idx="2">
                  <c:v>610</c:v>
                </c:pt>
              </c:numCache>
            </c:numRef>
          </c:val>
          <c:smooth val="0"/>
          <c:extLst>
            <c:ext xmlns:c16="http://schemas.microsoft.com/office/drawing/2014/chart" uri="{C3380CC4-5D6E-409C-BE32-E72D297353CC}">
              <c16:uniqueId val="{00000000-FB4F-4272-9A38-35405526DBEA}"/>
            </c:ext>
          </c:extLst>
        </c:ser>
        <c:ser>
          <c:idx val="1"/>
          <c:order val="1"/>
          <c:tx>
            <c:strRef>
              <c:f>'26.03.03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'26.03.03 보고자료 (수정중)'!$P$22:$R$22</c:f>
              <c:numCache>
                <c:formatCode>m"/"d;@</c:formatCode>
                <c:ptCount val="3"/>
                <c:pt idx="0">
                  <c:v>46069</c:v>
                </c:pt>
                <c:pt idx="1">
                  <c:v>46076</c:v>
                </c:pt>
                <c:pt idx="2">
                  <c:v>46083</c:v>
                </c:pt>
              </c:numCache>
            </c:numRef>
          </c:cat>
          <c:val>
            <c:numRef>
              <c:f>'26.03.03 보고자료 (수정중)'!$P$24:$R$24</c:f>
              <c:numCache>
                <c:formatCode>General</c:formatCode>
                <c:ptCount val="3"/>
                <c:pt idx="0">
                  <c:v>475</c:v>
                </c:pt>
                <c:pt idx="1">
                  <c:v>506</c:v>
                </c:pt>
                <c:pt idx="2">
                  <c:v>588</c:v>
                </c:pt>
              </c:numCache>
            </c:numRef>
          </c:val>
          <c:smooth val="0"/>
          <c:extLst>
            <c:ext xmlns:c16="http://schemas.microsoft.com/office/drawing/2014/chart" uri="{C3380CC4-5D6E-409C-BE32-E72D297353CC}">
              <c16:uniqueId val="{00000001-FB4F-4272-9A38-35405526DBEA}"/>
            </c:ext>
          </c:extLst>
        </c:ser>
        <c:ser>
          <c:idx val="2"/>
          <c:order val="2"/>
          <c:tx>
            <c:strRef>
              <c:f>'26.03.03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'26.03.03 보고자료 (수정중)'!$P$22:$R$22</c:f>
              <c:numCache>
                <c:formatCode>m"/"d;@</c:formatCode>
                <c:ptCount val="3"/>
                <c:pt idx="0">
                  <c:v>46069</c:v>
                </c:pt>
                <c:pt idx="1">
                  <c:v>46076</c:v>
                </c:pt>
                <c:pt idx="2">
                  <c:v>46083</c:v>
                </c:pt>
              </c:numCache>
            </c:numRef>
          </c:cat>
          <c:val>
            <c:numRef>
              <c:f>'26.03.03 보고자료 (수정중)'!$P$25:$R$25</c:f>
              <c:numCache>
                <c:formatCode>General</c:formatCode>
                <c:ptCount val="3"/>
                <c:pt idx="0">
                  <c:v>563</c:v>
                </c:pt>
                <c:pt idx="1">
                  <c:v>595</c:v>
                </c:pt>
                <c:pt idx="2">
                  <c:v>667</c:v>
                </c:pt>
              </c:numCache>
            </c:numRef>
          </c:val>
          <c:smooth val="0"/>
          <c:extLst>
            <c:ext xmlns:c16="http://schemas.microsoft.com/office/drawing/2014/chart" uri="{C3380CC4-5D6E-409C-BE32-E72D297353CC}">
              <c16:uniqueId val="{00000002-FB4F-4272-9A38-35405526DBEA}"/>
            </c:ext>
          </c:extLst>
        </c:ser>
        <c:ser>
          <c:idx val="3"/>
          <c:order val="3"/>
          <c:tx>
            <c:strRef>
              <c:f>'26.03.03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'26.03.03 보고자료 (수정중)'!$P$22:$R$22</c:f>
              <c:numCache>
                <c:formatCode>m"/"d;@</c:formatCode>
                <c:ptCount val="3"/>
                <c:pt idx="0">
                  <c:v>46069</c:v>
                </c:pt>
                <c:pt idx="1">
                  <c:v>46076</c:v>
                </c:pt>
                <c:pt idx="2">
                  <c:v>46083</c:v>
                </c:pt>
              </c:numCache>
            </c:numRef>
          </c:cat>
          <c:val>
            <c:numRef>
              <c:f>'26.03.03 보고자료 (수정중)'!$P$26:$R$26</c:f>
              <c:numCache>
                <c:formatCode>General</c:formatCode>
                <c:ptCount val="3"/>
                <c:pt idx="0">
                  <c:v>498</c:v>
                </c:pt>
                <c:pt idx="1">
                  <c:v>515</c:v>
                </c:pt>
                <c:pt idx="2">
                  <c:v>578</c:v>
                </c:pt>
              </c:numCache>
            </c:numRef>
          </c:val>
          <c:smooth val="0"/>
          <c:extLst>
            <c:ext xmlns:c16="http://schemas.microsoft.com/office/drawing/2014/chart" uri="{C3380CC4-5D6E-409C-BE32-E72D297353CC}">
              <c16:uniqueId val="{00000003-FB4F-4272-9A38-35405526DBEA}"/>
            </c:ext>
          </c:extLst>
        </c:ser>
        <c:ser>
          <c:idx val="4"/>
          <c:order val="4"/>
          <c:tx>
            <c:strRef>
              <c:f>'26.03.03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'26.03.03 보고자료 (수정중)'!$P$22:$R$22</c:f>
              <c:numCache>
                <c:formatCode>m"/"d;@</c:formatCode>
                <c:ptCount val="3"/>
                <c:pt idx="0">
                  <c:v>46069</c:v>
                </c:pt>
                <c:pt idx="1">
                  <c:v>46076</c:v>
                </c:pt>
                <c:pt idx="2">
                  <c:v>46083</c:v>
                </c:pt>
              </c:numCache>
            </c:numRef>
          </c:cat>
          <c:val>
            <c:numRef>
              <c:f>'26.03.03 보고자료 (수정중)'!$P$27:$R$27</c:f>
              <c:numCache>
                <c:formatCode>General</c:formatCode>
                <c:ptCount val="3"/>
              </c:numCache>
            </c:numRef>
          </c:val>
          <c:smooth val="0"/>
          <c:extLst>
            <c:ext xmlns:c16="http://schemas.microsoft.com/office/drawing/2014/chart" uri="{C3380CC4-5D6E-409C-BE32-E72D297353CC}">
              <c16:uniqueId val="{00000004-FB4F-4272-9A38-35405526DBEA}"/>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9.1556876250388095E-2"/>
          <c:y val="1.3485478921430528E-2"/>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57409663844042E-2"/>
          <c:y val="7.3825087611814125E-2"/>
          <c:w val="0.93053868916580484"/>
          <c:h val="0.60375739289602093"/>
        </c:manualLayout>
      </c:layout>
      <c:lineChart>
        <c:grouping val="standard"/>
        <c:varyColors val="0"/>
        <c:ser>
          <c:idx val="0"/>
          <c:order val="0"/>
          <c:tx>
            <c:v>Avg.KR</c:v>
          </c:tx>
          <c:spPr>
            <a:ln w="28575" cap="rnd">
              <a:solidFill>
                <a:srgbClr val="C00000"/>
              </a:solidFill>
              <a:round/>
            </a:ln>
            <a:effectLst/>
          </c:spPr>
          <c:marker>
            <c:symbol val="none"/>
          </c:marker>
          <c:cat>
            <c:strLit>
              <c:ptCount val="20"/>
              <c:pt idx="0">
                <c:v>2026년 1월 23 Jan</c:v>
              </c:pt>
              <c:pt idx="1">
                <c:v>2026년 1월 26 Jan</c:v>
              </c:pt>
              <c:pt idx="2">
                <c:v>2026년 1월 27 Jan</c:v>
              </c:pt>
              <c:pt idx="3">
                <c:v>2026년 1월 28 Jan</c:v>
              </c:pt>
              <c:pt idx="4">
                <c:v>2026년 1월 29 Jan</c:v>
              </c:pt>
              <c:pt idx="5">
                <c:v>2026년 1월 30 Jan</c:v>
              </c:pt>
              <c:pt idx="6">
                <c:v>2026년 2월 02 Feb</c:v>
              </c:pt>
              <c:pt idx="7">
                <c:v>2026년 2월 03 Feb</c:v>
              </c:pt>
              <c:pt idx="8">
                <c:v>2026년 2월 04 Feb</c:v>
              </c:pt>
              <c:pt idx="9">
                <c:v>2026년 2월 05 Feb</c:v>
              </c:pt>
              <c:pt idx="10">
                <c:v>2026년 2월 06 Feb</c:v>
              </c:pt>
              <c:pt idx="11">
                <c:v>2026년 2월 09 Feb</c:v>
              </c:pt>
              <c:pt idx="12">
                <c:v>2026년 2월 10 Feb</c:v>
              </c:pt>
              <c:pt idx="13">
                <c:v>2026년 2월 11 Feb</c:v>
              </c:pt>
              <c:pt idx="14">
                <c:v>2026년 2월 12 Feb</c:v>
              </c:pt>
              <c:pt idx="15">
                <c:v>2026년 2월 13 Feb</c:v>
              </c:pt>
              <c:pt idx="16">
                <c:v>2026년 2월 16 Feb</c:v>
              </c:pt>
              <c:pt idx="17">
                <c:v>2026년 2월 19 Feb</c:v>
              </c:pt>
              <c:pt idx="18">
                <c:v>2026년 2월 20 Feb</c:v>
              </c:pt>
              <c:pt idx="19">
                <c:v>2026년 2월 23 Feb</c:v>
              </c:pt>
            </c:strLit>
          </c:cat>
          <c:val>
            <c:numLit>
              <c:formatCode>General</c:formatCode>
              <c:ptCount val="20"/>
              <c:pt idx="0">
                <c:v>76.12</c:v>
              </c:pt>
              <c:pt idx="1">
                <c:v>73.649999999999977</c:v>
              </c:pt>
              <c:pt idx="2">
                <c:v>60.839999999999975</c:v>
              </c:pt>
              <c:pt idx="3">
                <c:v>52.389999999999986</c:v>
              </c:pt>
              <c:pt idx="4">
                <c:v>53.300000000000011</c:v>
              </c:pt>
              <c:pt idx="5">
                <c:v>38.45999999999998</c:v>
              </c:pt>
              <c:pt idx="6">
                <c:v>34.100000000000023</c:v>
              </c:pt>
              <c:pt idx="7">
                <c:v>43.069999999999993</c:v>
              </c:pt>
              <c:pt idx="8">
                <c:v>27.879999999999995</c:v>
              </c:pt>
              <c:pt idx="9">
                <c:v>46.839999999999975</c:v>
              </c:pt>
              <c:pt idx="10">
                <c:v>52.20999999999998</c:v>
              </c:pt>
              <c:pt idx="11">
                <c:v>51.009999999999991</c:v>
              </c:pt>
              <c:pt idx="12">
                <c:v>39.610000000000014</c:v>
              </c:pt>
              <c:pt idx="13">
                <c:v>53.829999999999984</c:v>
              </c:pt>
              <c:pt idx="14">
                <c:v>34.279999999999973</c:v>
              </c:pt>
              <c:pt idx="15">
                <c:v>29.410000000000025</c:v>
              </c:pt>
              <c:pt idx="16">
                <c:v>29.139999999999986</c:v>
              </c:pt>
              <c:pt idx="17">
                <c:v>39.550000000000011</c:v>
              </c:pt>
              <c:pt idx="18">
                <c:v>46.819999999999993</c:v>
              </c:pt>
              <c:pt idx="19">
                <c:v>30.829999999999984</c:v>
              </c:pt>
            </c:numLit>
          </c:val>
          <c:smooth val="0"/>
          <c:extLst>
            <c:ext xmlns:c16="http://schemas.microsoft.com/office/drawing/2014/chart" uri="{C3380CC4-5D6E-409C-BE32-E72D297353CC}">
              <c16:uniqueId val="{00000000-5A70-441B-A2E0-FB97E95E76BB}"/>
            </c:ext>
          </c:extLst>
        </c:ser>
        <c:ser>
          <c:idx val="1"/>
          <c:order val="1"/>
          <c:tx>
            <c:v>Avg.SP</c:v>
          </c:tx>
          <c:spPr>
            <a:ln w="9525" cap="rnd">
              <a:solidFill>
                <a:schemeClr val="accent6">
                  <a:lumMod val="75000"/>
                </a:schemeClr>
              </a:solidFill>
              <a:round/>
            </a:ln>
            <a:effectLst/>
          </c:spPr>
          <c:marker>
            <c:symbol val="none"/>
          </c:marker>
          <c:cat>
            <c:strLit>
              <c:ptCount val="20"/>
              <c:pt idx="0">
                <c:v>2026년 1월 23 Jan</c:v>
              </c:pt>
              <c:pt idx="1">
                <c:v>2026년 1월 26 Jan</c:v>
              </c:pt>
              <c:pt idx="2">
                <c:v>2026년 1월 27 Jan</c:v>
              </c:pt>
              <c:pt idx="3">
                <c:v>2026년 1월 28 Jan</c:v>
              </c:pt>
              <c:pt idx="4">
                <c:v>2026년 1월 29 Jan</c:v>
              </c:pt>
              <c:pt idx="5">
                <c:v>2026년 1월 30 Jan</c:v>
              </c:pt>
              <c:pt idx="6">
                <c:v>2026년 2월 02 Feb</c:v>
              </c:pt>
              <c:pt idx="7">
                <c:v>2026년 2월 03 Feb</c:v>
              </c:pt>
              <c:pt idx="8">
                <c:v>2026년 2월 04 Feb</c:v>
              </c:pt>
              <c:pt idx="9">
                <c:v>2026년 2월 05 Feb</c:v>
              </c:pt>
              <c:pt idx="10">
                <c:v>2026년 2월 06 Feb</c:v>
              </c:pt>
              <c:pt idx="11">
                <c:v>2026년 2월 09 Feb</c:v>
              </c:pt>
              <c:pt idx="12">
                <c:v>2026년 2월 10 Feb</c:v>
              </c:pt>
              <c:pt idx="13">
                <c:v>2026년 2월 11 Feb</c:v>
              </c:pt>
              <c:pt idx="14">
                <c:v>2026년 2월 12 Feb</c:v>
              </c:pt>
              <c:pt idx="15">
                <c:v>2026년 2월 13 Feb</c:v>
              </c:pt>
              <c:pt idx="16">
                <c:v>2026년 2월 16 Feb</c:v>
              </c:pt>
              <c:pt idx="17">
                <c:v>2026년 2월 19 Feb</c:v>
              </c:pt>
              <c:pt idx="18">
                <c:v>2026년 2월 20 Feb</c:v>
              </c:pt>
              <c:pt idx="19">
                <c:v>2026년 2월 23 Feb</c:v>
              </c:pt>
            </c:strLit>
          </c:cat>
          <c:val>
            <c:numLit>
              <c:formatCode>General</c:formatCode>
              <c:ptCount val="20"/>
              <c:pt idx="0">
                <c:v>19.870000000000005</c:v>
              </c:pt>
              <c:pt idx="1">
                <c:v>20.649999999999977</c:v>
              </c:pt>
              <c:pt idx="2">
                <c:v>25.339999999999975</c:v>
              </c:pt>
              <c:pt idx="3">
                <c:v>25.889999999999986</c:v>
              </c:pt>
              <c:pt idx="4">
                <c:v>25.550000000000011</c:v>
              </c:pt>
              <c:pt idx="5">
                <c:v>26.95999999999998</c:v>
              </c:pt>
              <c:pt idx="6">
                <c:v>27.850000000000023</c:v>
              </c:pt>
              <c:pt idx="7">
                <c:v>27.569999999999993</c:v>
              </c:pt>
              <c:pt idx="8">
                <c:v>27.879999999999995</c:v>
              </c:pt>
              <c:pt idx="9">
                <c:v>28.839999999999975</c:v>
              </c:pt>
              <c:pt idx="10">
                <c:v>29.20999999999998</c:v>
              </c:pt>
              <c:pt idx="11">
                <c:v>27.259999999999991</c:v>
              </c:pt>
              <c:pt idx="12">
                <c:v>24.610000000000014</c:v>
              </c:pt>
              <c:pt idx="13">
                <c:v>21.329999999999984</c:v>
              </c:pt>
              <c:pt idx="14">
                <c:v>18.279999999999973</c:v>
              </c:pt>
              <c:pt idx="15">
                <c:v>20.410000000000025</c:v>
              </c:pt>
              <c:pt idx="16">
                <c:v>18.139999999999986</c:v>
              </c:pt>
              <c:pt idx="17">
                <c:v>18.550000000000011</c:v>
              </c:pt>
              <c:pt idx="18">
                <c:v>17.319999999999993</c:v>
              </c:pt>
              <c:pt idx="19">
                <c:v>16.829999999999984</c:v>
              </c:pt>
            </c:numLit>
          </c:val>
          <c:smooth val="0"/>
          <c:extLst>
            <c:ext xmlns:c16="http://schemas.microsoft.com/office/drawing/2014/chart" uri="{C3380CC4-5D6E-409C-BE32-E72D297353CC}">
              <c16:uniqueId val="{00000001-5A70-441B-A2E0-FB97E95E76BB}"/>
            </c:ext>
          </c:extLst>
        </c:ser>
        <c:ser>
          <c:idx val="2"/>
          <c:order val="2"/>
          <c:tx>
            <c:v>Avg.ZS</c:v>
          </c:tx>
          <c:spPr>
            <a:ln w="9525" cap="rnd">
              <a:solidFill>
                <a:schemeClr val="accent1">
                  <a:lumMod val="75000"/>
                </a:schemeClr>
              </a:solidFill>
              <a:round/>
            </a:ln>
            <a:effectLst/>
          </c:spPr>
          <c:marker>
            <c:symbol val="none"/>
          </c:marker>
          <c:cat>
            <c:strLit>
              <c:ptCount val="20"/>
              <c:pt idx="0">
                <c:v>2026년 1월 23 Jan</c:v>
              </c:pt>
              <c:pt idx="1">
                <c:v>2026년 1월 26 Jan</c:v>
              </c:pt>
              <c:pt idx="2">
                <c:v>2026년 1월 27 Jan</c:v>
              </c:pt>
              <c:pt idx="3">
                <c:v>2026년 1월 28 Jan</c:v>
              </c:pt>
              <c:pt idx="4">
                <c:v>2026년 1월 29 Jan</c:v>
              </c:pt>
              <c:pt idx="5">
                <c:v>2026년 1월 30 Jan</c:v>
              </c:pt>
              <c:pt idx="6">
                <c:v>2026년 2월 02 Feb</c:v>
              </c:pt>
              <c:pt idx="7">
                <c:v>2026년 2월 03 Feb</c:v>
              </c:pt>
              <c:pt idx="8">
                <c:v>2026년 2월 04 Feb</c:v>
              </c:pt>
              <c:pt idx="9">
                <c:v>2026년 2월 05 Feb</c:v>
              </c:pt>
              <c:pt idx="10">
                <c:v>2026년 2월 06 Feb</c:v>
              </c:pt>
              <c:pt idx="11">
                <c:v>2026년 2월 09 Feb</c:v>
              </c:pt>
              <c:pt idx="12">
                <c:v>2026년 2월 10 Feb</c:v>
              </c:pt>
              <c:pt idx="13">
                <c:v>2026년 2월 11 Feb</c:v>
              </c:pt>
              <c:pt idx="14">
                <c:v>2026년 2월 12 Feb</c:v>
              </c:pt>
              <c:pt idx="15">
                <c:v>2026년 2월 13 Feb</c:v>
              </c:pt>
              <c:pt idx="16">
                <c:v>2026년 2월 16 Feb</c:v>
              </c:pt>
              <c:pt idx="17">
                <c:v>2026년 2월 19 Feb</c:v>
              </c:pt>
              <c:pt idx="18">
                <c:v>2026년 2월 20 Feb</c:v>
              </c:pt>
              <c:pt idx="19">
                <c:v>2026년 2월 23 Feb</c:v>
              </c:pt>
            </c:strLit>
          </c:cat>
          <c:val>
            <c:numLit>
              <c:formatCode>General</c:formatCode>
              <c:ptCount val="20"/>
              <c:pt idx="0">
                <c:v>29.870000000000005</c:v>
              </c:pt>
              <c:pt idx="1">
                <c:v>29.649999999999977</c:v>
              </c:pt>
              <c:pt idx="2">
                <c:v>29.339999999999975</c:v>
              </c:pt>
              <c:pt idx="3">
                <c:v>30.889999999999986</c:v>
              </c:pt>
              <c:pt idx="4">
                <c:v>33.550000000000011</c:v>
              </c:pt>
              <c:pt idx="5">
                <c:v>33.95999999999998</c:v>
              </c:pt>
              <c:pt idx="6">
                <c:v>35.850000000000023</c:v>
              </c:pt>
              <c:pt idx="7">
                <c:v>34.569999999999993</c:v>
              </c:pt>
              <c:pt idx="8">
                <c:v>33.879999999999995</c:v>
              </c:pt>
              <c:pt idx="9">
                <c:v>34.839999999999975</c:v>
              </c:pt>
              <c:pt idx="10">
                <c:v>35.20999999999998</c:v>
              </c:pt>
              <c:pt idx="11">
                <c:v>34.259999999999991</c:v>
              </c:pt>
              <c:pt idx="12">
                <c:v>33.610000000000014</c:v>
              </c:pt>
              <c:pt idx="13">
                <c:v>31.329999999999984</c:v>
              </c:pt>
              <c:pt idx="14">
                <c:v>31.279999999999973</c:v>
              </c:pt>
              <c:pt idx="15">
                <c:v>35.410000000000025</c:v>
              </c:pt>
              <c:pt idx="16">
                <c:v>35.139999999999986</c:v>
              </c:pt>
              <c:pt idx="17">
                <c:v>32.550000000000011</c:v>
              </c:pt>
              <c:pt idx="18">
                <c:v>26.319999999999993</c:v>
              </c:pt>
              <c:pt idx="19">
                <c:v>22.829999999999984</c:v>
              </c:pt>
            </c:numLit>
          </c:val>
          <c:smooth val="0"/>
          <c:extLst>
            <c:ext xmlns:c16="http://schemas.microsoft.com/office/drawing/2014/chart" uri="{C3380CC4-5D6E-409C-BE32-E72D297353CC}">
              <c16:uniqueId val="{00000002-5A70-441B-A2E0-FB97E95E76BB}"/>
            </c:ext>
          </c:extLst>
        </c:ser>
        <c:ser>
          <c:idx val="3"/>
          <c:order val="3"/>
          <c:tx>
            <c:v>Avg.KR '25 25%</c:v>
          </c:tx>
          <c:spPr>
            <a:ln w="12700" cap="rnd">
              <a:solidFill>
                <a:srgbClr val="C00000"/>
              </a:solidFill>
              <a:prstDash val="dash"/>
              <a:round/>
            </a:ln>
            <a:effectLst/>
          </c:spPr>
          <c:marker>
            <c:symbol val="none"/>
          </c:marker>
          <c:cat>
            <c:strLit>
              <c:ptCount val="20"/>
              <c:pt idx="0">
                <c:v>2026년 1월 23 Jan</c:v>
              </c:pt>
              <c:pt idx="1">
                <c:v>2026년 1월 26 Jan</c:v>
              </c:pt>
              <c:pt idx="2">
                <c:v>2026년 1월 27 Jan</c:v>
              </c:pt>
              <c:pt idx="3">
                <c:v>2026년 1월 28 Jan</c:v>
              </c:pt>
              <c:pt idx="4">
                <c:v>2026년 1월 29 Jan</c:v>
              </c:pt>
              <c:pt idx="5">
                <c:v>2026년 1월 30 Jan</c:v>
              </c:pt>
              <c:pt idx="6">
                <c:v>2026년 2월 02 Feb</c:v>
              </c:pt>
              <c:pt idx="7">
                <c:v>2026년 2월 03 Feb</c:v>
              </c:pt>
              <c:pt idx="8">
                <c:v>2026년 2월 04 Feb</c:v>
              </c:pt>
              <c:pt idx="9">
                <c:v>2026년 2월 05 Feb</c:v>
              </c:pt>
              <c:pt idx="10">
                <c:v>2026년 2월 06 Feb</c:v>
              </c:pt>
              <c:pt idx="11">
                <c:v>2026년 2월 09 Feb</c:v>
              </c:pt>
              <c:pt idx="12">
                <c:v>2026년 2월 10 Feb</c:v>
              </c:pt>
              <c:pt idx="13">
                <c:v>2026년 2월 11 Feb</c:v>
              </c:pt>
              <c:pt idx="14">
                <c:v>2026년 2월 12 Feb</c:v>
              </c:pt>
              <c:pt idx="15">
                <c:v>2026년 2월 13 Feb</c:v>
              </c:pt>
              <c:pt idx="16">
                <c:v>2026년 2월 16 Feb</c:v>
              </c:pt>
              <c:pt idx="17">
                <c:v>2026년 2월 19 Feb</c:v>
              </c:pt>
              <c:pt idx="18">
                <c:v>2026년 2월 20 Feb</c:v>
              </c:pt>
              <c:pt idx="19">
                <c:v>2026년 2월 23 Feb</c:v>
              </c:pt>
            </c:strLit>
          </c:cat>
          <c:val>
            <c:numLit>
              <c:formatCode>General</c:formatCode>
              <c:ptCount val="20"/>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pt idx="15">
                <c:v>23.747500000000002</c:v>
              </c:pt>
              <c:pt idx="16">
                <c:v>23.747500000000002</c:v>
              </c:pt>
              <c:pt idx="17">
                <c:v>23.747500000000002</c:v>
              </c:pt>
              <c:pt idx="18">
                <c:v>23.747500000000002</c:v>
              </c:pt>
              <c:pt idx="19">
                <c:v>23.747500000000002</c:v>
              </c:pt>
            </c:numLit>
          </c:val>
          <c:smooth val="0"/>
          <c:extLst>
            <c:ext xmlns:c16="http://schemas.microsoft.com/office/drawing/2014/chart" uri="{C3380CC4-5D6E-409C-BE32-E72D297353CC}">
              <c16:uniqueId val="{00000003-5A70-441B-A2E0-FB97E95E76BB}"/>
            </c:ext>
          </c:extLst>
        </c:ser>
        <c:ser>
          <c:idx val="4"/>
          <c:order val="4"/>
          <c:tx>
            <c:v>Avg.KR '25 75%</c:v>
          </c:tx>
          <c:spPr>
            <a:ln w="12700" cap="rnd">
              <a:solidFill>
                <a:srgbClr val="C00000"/>
              </a:solidFill>
              <a:prstDash val="dash"/>
              <a:round/>
            </a:ln>
            <a:effectLst/>
          </c:spPr>
          <c:marker>
            <c:symbol val="none"/>
          </c:marker>
          <c:cat>
            <c:strLit>
              <c:ptCount val="20"/>
              <c:pt idx="0">
                <c:v>2026년 1월 23 Jan</c:v>
              </c:pt>
              <c:pt idx="1">
                <c:v>2026년 1월 26 Jan</c:v>
              </c:pt>
              <c:pt idx="2">
                <c:v>2026년 1월 27 Jan</c:v>
              </c:pt>
              <c:pt idx="3">
                <c:v>2026년 1월 28 Jan</c:v>
              </c:pt>
              <c:pt idx="4">
                <c:v>2026년 1월 29 Jan</c:v>
              </c:pt>
              <c:pt idx="5">
                <c:v>2026년 1월 30 Jan</c:v>
              </c:pt>
              <c:pt idx="6">
                <c:v>2026년 2월 02 Feb</c:v>
              </c:pt>
              <c:pt idx="7">
                <c:v>2026년 2월 03 Feb</c:v>
              </c:pt>
              <c:pt idx="8">
                <c:v>2026년 2월 04 Feb</c:v>
              </c:pt>
              <c:pt idx="9">
                <c:v>2026년 2월 05 Feb</c:v>
              </c:pt>
              <c:pt idx="10">
                <c:v>2026년 2월 06 Feb</c:v>
              </c:pt>
              <c:pt idx="11">
                <c:v>2026년 2월 09 Feb</c:v>
              </c:pt>
              <c:pt idx="12">
                <c:v>2026년 2월 10 Feb</c:v>
              </c:pt>
              <c:pt idx="13">
                <c:v>2026년 2월 11 Feb</c:v>
              </c:pt>
              <c:pt idx="14">
                <c:v>2026년 2월 12 Feb</c:v>
              </c:pt>
              <c:pt idx="15">
                <c:v>2026년 2월 13 Feb</c:v>
              </c:pt>
              <c:pt idx="16">
                <c:v>2026년 2월 16 Feb</c:v>
              </c:pt>
              <c:pt idx="17">
                <c:v>2026년 2월 19 Feb</c:v>
              </c:pt>
              <c:pt idx="18">
                <c:v>2026년 2월 20 Feb</c:v>
              </c:pt>
              <c:pt idx="19">
                <c:v>2026년 2월 23 Feb</c:v>
              </c:pt>
            </c:strLit>
          </c:cat>
          <c:val>
            <c:numLit>
              <c:formatCode>General</c:formatCode>
              <c:ptCount val="20"/>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pt idx="15">
                <c:v>51.122500000000002</c:v>
              </c:pt>
              <c:pt idx="16">
                <c:v>51.122500000000002</c:v>
              </c:pt>
              <c:pt idx="17">
                <c:v>51.122500000000002</c:v>
              </c:pt>
              <c:pt idx="18">
                <c:v>51.122500000000002</c:v>
              </c:pt>
              <c:pt idx="19">
                <c:v>51.122500000000002</c:v>
              </c:pt>
            </c:numLit>
          </c:val>
          <c:smooth val="0"/>
          <c:extLst>
            <c:ext xmlns:c16="http://schemas.microsoft.com/office/drawing/2014/chart" uri="{C3380CC4-5D6E-409C-BE32-E72D297353CC}">
              <c16:uniqueId val="{00000004-5A70-441B-A2E0-FB97E95E76BB}"/>
            </c:ext>
          </c:extLst>
        </c:ser>
        <c:ser>
          <c:idx val="5"/>
          <c:order val="5"/>
          <c:tx>
            <c:v>Avg.SP '25 25%</c:v>
          </c:tx>
          <c:spPr>
            <a:ln w="9525" cap="rnd">
              <a:solidFill>
                <a:schemeClr val="bg1"/>
              </a:solidFill>
              <a:prstDash val="sysDash"/>
              <a:round/>
            </a:ln>
            <a:effectLst/>
          </c:spPr>
          <c:marker>
            <c:symbol val="none"/>
          </c:marker>
          <c:cat>
            <c:strLit>
              <c:ptCount val="20"/>
              <c:pt idx="0">
                <c:v>2026년 1월 23 Jan</c:v>
              </c:pt>
              <c:pt idx="1">
                <c:v>2026년 1월 26 Jan</c:v>
              </c:pt>
              <c:pt idx="2">
                <c:v>2026년 1월 27 Jan</c:v>
              </c:pt>
              <c:pt idx="3">
                <c:v>2026년 1월 28 Jan</c:v>
              </c:pt>
              <c:pt idx="4">
                <c:v>2026년 1월 29 Jan</c:v>
              </c:pt>
              <c:pt idx="5">
                <c:v>2026년 1월 30 Jan</c:v>
              </c:pt>
              <c:pt idx="6">
                <c:v>2026년 2월 02 Feb</c:v>
              </c:pt>
              <c:pt idx="7">
                <c:v>2026년 2월 03 Feb</c:v>
              </c:pt>
              <c:pt idx="8">
                <c:v>2026년 2월 04 Feb</c:v>
              </c:pt>
              <c:pt idx="9">
                <c:v>2026년 2월 05 Feb</c:v>
              </c:pt>
              <c:pt idx="10">
                <c:v>2026년 2월 06 Feb</c:v>
              </c:pt>
              <c:pt idx="11">
                <c:v>2026년 2월 09 Feb</c:v>
              </c:pt>
              <c:pt idx="12">
                <c:v>2026년 2월 10 Feb</c:v>
              </c:pt>
              <c:pt idx="13">
                <c:v>2026년 2월 11 Feb</c:v>
              </c:pt>
              <c:pt idx="14">
                <c:v>2026년 2월 12 Feb</c:v>
              </c:pt>
              <c:pt idx="15">
                <c:v>2026년 2월 13 Feb</c:v>
              </c:pt>
              <c:pt idx="16">
                <c:v>2026년 2월 16 Feb</c:v>
              </c:pt>
              <c:pt idx="17">
                <c:v>2026년 2월 19 Feb</c:v>
              </c:pt>
              <c:pt idx="18">
                <c:v>2026년 2월 20 Feb</c:v>
              </c:pt>
              <c:pt idx="19">
                <c:v>2026년 2월 23 Feb</c:v>
              </c:pt>
            </c:strLit>
          </c:cat>
          <c:val>
            <c:numLit>
              <c:formatCode>General</c:formatCode>
              <c:ptCount val="20"/>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pt idx="15">
                <c:v>10.920000000000016</c:v>
              </c:pt>
              <c:pt idx="16">
                <c:v>10.920000000000016</c:v>
              </c:pt>
              <c:pt idx="17">
                <c:v>10.920000000000016</c:v>
              </c:pt>
              <c:pt idx="18">
                <c:v>10.920000000000016</c:v>
              </c:pt>
              <c:pt idx="19">
                <c:v>10.920000000000016</c:v>
              </c:pt>
            </c:numLit>
          </c:val>
          <c:smooth val="0"/>
          <c:extLst>
            <c:ext xmlns:c16="http://schemas.microsoft.com/office/drawing/2014/chart" uri="{C3380CC4-5D6E-409C-BE32-E72D297353CC}">
              <c16:uniqueId val="{00000005-5A70-441B-A2E0-FB97E95E76BB}"/>
            </c:ext>
          </c:extLst>
        </c:ser>
        <c:ser>
          <c:idx val="6"/>
          <c:order val="6"/>
          <c:tx>
            <c:v>Avg.SP '25 75%</c:v>
          </c:tx>
          <c:spPr>
            <a:ln w="9525" cap="rnd">
              <a:solidFill>
                <a:schemeClr val="bg1"/>
              </a:solidFill>
              <a:prstDash val="sysDash"/>
              <a:round/>
            </a:ln>
            <a:effectLst/>
          </c:spPr>
          <c:marker>
            <c:symbol val="none"/>
          </c:marker>
          <c:cat>
            <c:strLit>
              <c:ptCount val="20"/>
              <c:pt idx="0">
                <c:v>2026년 1월 23 Jan</c:v>
              </c:pt>
              <c:pt idx="1">
                <c:v>2026년 1월 26 Jan</c:v>
              </c:pt>
              <c:pt idx="2">
                <c:v>2026년 1월 27 Jan</c:v>
              </c:pt>
              <c:pt idx="3">
                <c:v>2026년 1월 28 Jan</c:v>
              </c:pt>
              <c:pt idx="4">
                <c:v>2026년 1월 29 Jan</c:v>
              </c:pt>
              <c:pt idx="5">
                <c:v>2026년 1월 30 Jan</c:v>
              </c:pt>
              <c:pt idx="6">
                <c:v>2026년 2월 02 Feb</c:v>
              </c:pt>
              <c:pt idx="7">
                <c:v>2026년 2월 03 Feb</c:v>
              </c:pt>
              <c:pt idx="8">
                <c:v>2026년 2월 04 Feb</c:v>
              </c:pt>
              <c:pt idx="9">
                <c:v>2026년 2월 05 Feb</c:v>
              </c:pt>
              <c:pt idx="10">
                <c:v>2026년 2월 06 Feb</c:v>
              </c:pt>
              <c:pt idx="11">
                <c:v>2026년 2월 09 Feb</c:v>
              </c:pt>
              <c:pt idx="12">
                <c:v>2026년 2월 10 Feb</c:v>
              </c:pt>
              <c:pt idx="13">
                <c:v>2026년 2월 11 Feb</c:v>
              </c:pt>
              <c:pt idx="14">
                <c:v>2026년 2월 12 Feb</c:v>
              </c:pt>
              <c:pt idx="15">
                <c:v>2026년 2월 13 Feb</c:v>
              </c:pt>
              <c:pt idx="16">
                <c:v>2026년 2월 16 Feb</c:v>
              </c:pt>
              <c:pt idx="17">
                <c:v>2026년 2월 19 Feb</c:v>
              </c:pt>
              <c:pt idx="18">
                <c:v>2026년 2월 20 Feb</c:v>
              </c:pt>
              <c:pt idx="19">
                <c:v>2026년 2월 23 Feb</c:v>
              </c:pt>
            </c:strLit>
          </c:cat>
          <c:val>
            <c:numLit>
              <c:formatCode>General</c:formatCode>
              <c:ptCount val="20"/>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pt idx="15">
                <c:v>13.480000000000018</c:v>
              </c:pt>
              <c:pt idx="16">
                <c:v>13.480000000000018</c:v>
              </c:pt>
              <c:pt idx="17">
                <c:v>13.480000000000018</c:v>
              </c:pt>
              <c:pt idx="18">
                <c:v>13.480000000000018</c:v>
              </c:pt>
              <c:pt idx="19">
                <c:v>13.480000000000018</c:v>
              </c:pt>
            </c:numLit>
          </c:val>
          <c:smooth val="0"/>
          <c:extLst>
            <c:ext xmlns:c16="http://schemas.microsoft.com/office/drawing/2014/chart" uri="{C3380CC4-5D6E-409C-BE32-E72D297353CC}">
              <c16:uniqueId val="{00000006-5A70-441B-A2E0-FB97E95E76BB}"/>
            </c:ext>
          </c:extLst>
        </c:ser>
        <c:ser>
          <c:idx val="7"/>
          <c:order val="7"/>
          <c:tx>
            <c:v>Avg. JP Spread</c:v>
          </c:tx>
          <c:spPr>
            <a:ln w="12700" cap="rnd">
              <a:solidFill>
                <a:schemeClr val="tx1">
                  <a:lumMod val="75000"/>
                  <a:lumOff val="25000"/>
                </a:schemeClr>
              </a:solidFill>
              <a:round/>
            </a:ln>
            <a:effectLst/>
          </c:spPr>
          <c:marker>
            <c:symbol val="none"/>
          </c:marker>
          <c:cat>
            <c:strLit>
              <c:ptCount val="20"/>
              <c:pt idx="0">
                <c:v>2026년 1월 23 Jan</c:v>
              </c:pt>
              <c:pt idx="1">
                <c:v>2026년 1월 26 Jan</c:v>
              </c:pt>
              <c:pt idx="2">
                <c:v>2026년 1월 27 Jan</c:v>
              </c:pt>
              <c:pt idx="3">
                <c:v>2026년 1월 28 Jan</c:v>
              </c:pt>
              <c:pt idx="4">
                <c:v>2026년 1월 29 Jan</c:v>
              </c:pt>
              <c:pt idx="5">
                <c:v>2026년 1월 30 Jan</c:v>
              </c:pt>
              <c:pt idx="6">
                <c:v>2026년 2월 02 Feb</c:v>
              </c:pt>
              <c:pt idx="7">
                <c:v>2026년 2월 03 Feb</c:v>
              </c:pt>
              <c:pt idx="8">
                <c:v>2026년 2월 04 Feb</c:v>
              </c:pt>
              <c:pt idx="9">
                <c:v>2026년 2월 05 Feb</c:v>
              </c:pt>
              <c:pt idx="10">
                <c:v>2026년 2월 06 Feb</c:v>
              </c:pt>
              <c:pt idx="11">
                <c:v>2026년 2월 09 Feb</c:v>
              </c:pt>
              <c:pt idx="12">
                <c:v>2026년 2월 10 Feb</c:v>
              </c:pt>
              <c:pt idx="13">
                <c:v>2026년 2월 11 Feb</c:v>
              </c:pt>
              <c:pt idx="14">
                <c:v>2026년 2월 12 Feb</c:v>
              </c:pt>
              <c:pt idx="15">
                <c:v>2026년 2월 13 Feb</c:v>
              </c:pt>
              <c:pt idx="16">
                <c:v>2026년 2월 16 Feb</c:v>
              </c:pt>
              <c:pt idx="17">
                <c:v>2026년 2월 19 Feb</c:v>
              </c:pt>
              <c:pt idx="18">
                <c:v>2026년 2월 20 Feb</c:v>
              </c:pt>
              <c:pt idx="19">
                <c:v>2026년 2월 23 Feb</c:v>
              </c:pt>
            </c:strLit>
          </c:cat>
          <c:val>
            <c:numLit>
              <c:formatCode>General</c:formatCode>
              <c:ptCount val="20"/>
              <c:pt idx="0">
                <c:v>56.870000000000005</c:v>
              </c:pt>
              <c:pt idx="1">
                <c:v>53.649999999999977</c:v>
              </c:pt>
              <c:pt idx="2">
                <c:v>53.339999999999975</c:v>
              </c:pt>
              <c:pt idx="3">
                <c:v>49.889999999999986</c:v>
              </c:pt>
              <c:pt idx="4">
                <c:v>47.550000000000011</c:v>
              </c:pt>
              <c:pt idx="5">
                <c:v>50.95999999999998</c:v>
              </c:pt>
              <c:pt idx="6">
                <c:v>55.850000000000023</c:v>
              </c:pt>
              <c:pt idx="7">
                <c:v>55.569999999999993</c:v>
              </c:pt>
              <c:pt idx="8">
                <c:v>55.879999999999995</c:v>
              </c:pt>
              <c:pt idx="9">
                <c:v>55.839999999999975</c:v>
              </c:pt>
              <c:pt idx="10">
                <c:v>55.20999999999998</c:v>
              </c:pt>
              <c:pt idx="11">
                <c:v>54.259999999999991</c:v>
              </c:pt>
              <c:pt idx="12">
                <c:v>53.610000000000014</c:v>
              </c:pt>
              <c:pt idx="13">
                <c:v>53.329999999999984</c:v>
              </c:pt>
              <c:pt idx="14">
                <c:v>50.279999999999973</c:v>
              </c:pt>
              <c:pt idx="15">
                <c:v>48.410000000000025</c:v>
              </c:pt>
              <c:pt idx="16">
                <c:v>47.139999999999986</c:v>
              </c:pt>
              <c:pt idx="17">
                <c:v>46.550000000000011</c:v>
              </c:pt>
              <c:pt idx="18">
                <c:v>43.319999999999993</c:v>
              </c:pt>
              <c:pt idx="19">
                <c:v>42.829999999999984</c:v>
              </c:pt>
            </c:numLit>
          </c:val>
          <c:smooth val="0"/>
          <c:extLst>
            <c:ext xmlns:c16="http://schemas.microsoft.com/office/drawing/2014/chart" uri="{C3380CC4-5D6E-409C-BE32-E72D297353CC}">
              <c16:uniqueId val="{00000007-5A70-441B-A2E0-FB97E95E76BB}"/>
            </c:ext>
          </c:extLst>
        </c:ser>
        <c:dLbls>
          <c:showLegendKey val="0"/>
          <c:showVal val="0"/>
          <c:showCatName val="0"/>
          <c:showSerName val="0"/>
          <c:showPercent val="0"/>
          <c:showBubbleSize val="0"/>
        </c:dLbls>
        <c:smooth val="0"/>
        <c:axId val="101607615"/>
        <c:axId val="101608095"/>
      </c:lineChart>
      <c:dateAx>
        <c:axId val="101607615"/>
        <c:scaling>
          <c:orientation val="minMax"/>
        </c:scaling>
        <c:delete val="0"/>
        <c:axPos val="b"/>
        <c:numFmt formatCode="[$-409]d&quot;-&quot;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Offset val="100"/>
        <c:baseTimeUnit val="days"/>
      </c:date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egendEntry>
        <c:idx val="5"/>
        <c:delete val="1"/>
      </c:legendEntry>
      <c:legendEntry>
        <c:idx val="6"/>
        <c:delete val="1"/>
      </c:legendEntry>
      <c:layout>
        <c:manualLayout>
          <c:xMode val="edge"/>
          <c:yMode val="edge"/>
          <c:x val="7.4817761444177455E-2"/>
          <c:y val="2.0938415504051948E-2"/>
          <c:w val="0.91304378092567584"/>
          <c:h val="7.3819922174609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'26.02.24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'26.02.24 보고자료 (수정중)'!$C$22:$F$22</c:f>
              <c:strCache>
                <c:ptCount val="4"/>
                <c:pt idx="0">
                  <c:v>2026-02-09
(FEB DELIVERY)</c:v>
                </c:pt>
                <c:pt idx="1">
                  <c:v>2026-02-16
(FEB DELIVERY)</c:v>
                </c:pt>
                <c:pt idx="2">
                  <c:v>2026-02-23
(MAR DELIVERY)</c:v>
                </c:pt>
                <c:pt idx="3">
                  <c:v>This week assumption </c:v>
                </c:pt>
              </c:strCache>
            </c:strRef>
          </c:cat>
          <c:val>
            <c:numRef>
              <c:f>'26.02.24 보고자료 (수정중)'!$C$23:$F$23</c:f>
              <c:numCache>
                <c:formatCode>General</c:formatCode>
                <c:ptCount val="4"/>
                <c:pt idx="0">
                  <c:v>38</c:v>
                </c:pt>
                <c:pt idx="1">
                  <c:v>36</c:v>
                </c:pt>
                <c:pt idx="2">
                  <c:v>25</c:v>
                </c:pt>
                <c:pt idx="3">
                  <c:v>25</c:v>
                </c:pt>
              </c:numCache>
            </c:numRef>
          </c:val>
          <c:smooth val="0"/>
          <c:extLst>
            <c:ext xmlns:c16="http://schemas.microsoft.com/office/drawing/2014/chart" uri="{C3380CC4-5D6E-409C-BE32-E72D297353CC}">
              <c16:uniqueId val="{00000000-C15E-4C3D-9A60-D2D93BAB08C2}"/>
            </c:ext>
          </c:extLst>
        </c:ser>
        <c:ser>
          <c:idx val="1"/>
          <c:order val="1"/>
          <c:tx>
            <c:strRef>
              <c:f>'26.02.24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'26.02.24 보고자료 (수정중)'!$C$22:$F$22</c:f>
              <c:strCache>
                <c:ptCount val="4"/>
                <c:pt idx="0">
                  <c:v>2026-02-09
(FEB DELIVERY)</c:v>
                </c:pt>
                <c:pt idx="1">
                  <c:v>2026-02-16
(FEB DELIVERY)</c:v>
                </c:pt>
                <c:pt idx="2">
                  <c:v>2026-02-23
(MAR DELIVERY)</c:v>
                </c:pt>
                <c:pt idx="3">
                  <c:v>This week assumption </c:v>
                </c:pt>
              </c:strCache>
            </c:strRef>
          </c:cat>
          <c:val>
            <c:numRef>
              <c:f>'26.02.24 보고자료 (수정중)'!$C$24:$F$24</c:f>
              <c:numCache>
                <c:formatCode>General</c:formatCode>
                <c:ptCount val="4"/>
                <c:pt idx="0">
                  <c:v>34</c:v>
                </c:pt>
                <c:pt idx="1">
                  <c:v>35</c:v>
                </c:pt>
                <c:pt idx="2">
                  <c:v>25</c:v>
                </c:pt>
                <c:pt idx="3">
                  <c:v>25</c:v>
                </c:pt>
              </c:numCache>
            </c:numRef>
          </c:val>
          <c:smooth val="0"/>
          <c:extLst>
            <c:ext xmlns:c16="http://schemas.microsoft.com/office/drawing/2014/chart" uri="{C3380CC4-5D6E-409C-BE32-E72D297353CC}">
              <c16:uniqueId val="{00000001-C15E-4C3D-9A60-D2D93BAB08C2}"/>
            </c:ext>
          </c:extLst>
        </c:ser>
        <c:ser>
          <c:idx val="2"/>
          <c:order val="2"/>
          <c:tx>
            <c:strRef>
              <c:f>'26.02.24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'26.02.24 보고자료 (수정중)'!$C$22:$F$22</c:f>
              <c:strCache>
                <c:ptCount val="4"/>
                <c:pt idx="0">
                  <c:v>2026-02-09
(FEB DELIVERY)</c:v>
                </c:pt>
                <c:pt idx="1">
                  <c:v>2026-02-16
(FEB DELIVERY)</c:v>
                </c:pt>
                <c:pt idx="2">
                  <c:v>2026-02-23
(MAR DELIVERY)</c:v>
                </c:pt>
                <c:pt idx="3">
                  <c:v>This week assumption </c:v>
                </c:pt>
              </c:strCache>
            </c:strRef>
          </c:cat>
          <c:val>
            <c:numRef>
              <c:f>'26.02.24 보고자료 (수정중)'!$C$25:$F$25</c:f>
              <c:numCache>
                <c:formatCode>General</c:formatCode>
                <c:ptCount val="4"/>
                <c:pt idx="0">
                  <c:v>33</c:v>
                </c:pt>
                <c:pt idx="1">
                  <c:v>33</c:v>
                </c:pt>
                <c:pt idx="2">
                  <c:v>25</c:v>
                </c:pt>
                <c:pt idx="3">
                  <c:v>25</c:v>
                </c:pt>
              </c:numCache>
            </c:numRef>
          </c:val>
          <c:smooth val="0"/>
          <c:extLst>
            <c:ext xmlns:c16="http://schemas.microsoft.com/office/drawing/2014/chart" uri="{C3380CC4-5D6E-409C-BE32-E72D297353CC}">
              <c16:uniqueId val="{00000002-C15E-4C3D-9A60-D2D93BAB08C2}"/>
            </c:ext>
          </c:extLst>
        </c:ser>
        <c:ser>
          <c:idx val="3"/>
          <c:order val="3"/>
          <c:tx>
            <c:strRef>
              <c:f>'26.02.24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'26.02.24 보고자료 (수정중)'!$C$22:$F$22</c:f>
              <c:strCache>
                <c:ptCount val="4"/>
                <c:pt idx="0">
                  <c:v>2026-02-09
(FEB DELIVERY)</c:v>
                </c:pt>
                <c:pt idx="1">
                  <c:v>2026-02-16
(FEB DELIVERY)</c:v>
                </c:pt>
                <c:pt idx="2">
                  <c:v>2026-02-23
(MAR DELIVERY)</c:v>
                </c:pt>
                <c:pt idx="3">
                  <c:v>This week assumption </c:v>
                </c:pt>
              </c:strCache>
            </c:strRef>
          </c:cat>
          <c:val>
            <c:numRef>
              <c:f>'26.02.24 보고자료 (수정중)'!$C$26:$F$26</c:f>
              <c:numCache>
                <c:formatCode>General</c:formatCode>
                <c:ptCount val="4"/>
                <c:pt idx="0">
                  <c:v>50</c:v>
                </c:pt>
                <c:pt idx="1">
                  <c:v>50</c:v>
                </c:pt>
                <c:pt idx="2">
                  <c:v>45</c:v>
                </c:pt>
                <c:pt idx="3">
                  <c:v>45</c:v>
                </c:pt>
              </c:numCache>
            </c:numRef>
          </c:val>
          <c:smooth val="0"/>
          <c:extLst>
            <c:ext xmlns:c16="http://schemas.microsoft.com/office/drawing/2014/chart" uri="{C3380CC4-5D6E-409C-BE32-E72D297353CC}">
              <c16:uniqueId val="{00000003-C15E-4C3D-9A60-D2D93BAB08C2}"/>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'26.02.24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'26.02.24 보고자료 (수정중)'!$P$22:$R$22</c:f>
              <c:numCache>
                <c:formatCode>m"/"d;@</c:formatCode>
                <c:ptCount val="3"/>
                <c:pt idx="0">
                  <c:v>46062</c:v>
                </c:pt>
                <c:pt idx="1">
                  <c:v>46069</c:v>
                </c:pt>
                <c:pt idx="2">
                  <c:v>46076</c:v>
                </c:pt>
              </c:numCache>
            </c:numRef>
          </c:cat>
          <c:val>
            <c:numRef>
              <c:f>'26.02.24 보고자료 (수정중)'!$P$23:$R$23</c:f>
              <c:numCache>
                <c:formatCode>General</c:formatCode>
                <c:ptCount val="3"/>
                <c:pt idx="0">
                  <c:v>490</c:v>
                </c:pt>
                <c:pt idx="1">
                  <c:v>490</c:v>
                </c:pt>
                <c:pt idx="2">
                  <c:v>470</c:v>
                </c:pt>
              </c:numCache>
            </c:numRef>
          </c:val>
          <c:smooth val="0"/>
          <c:extLst>
            <c:ext xmlns:c16="http://schemas.microsoft.com/office/drawing/2014/chart" uri="{C3380CC4-5D6E-409C-BE32-E72D297353CC}">
              <c16:uniqueId val="{00000000-ACE8-4F54-95EA-99D7FDD78B4B}"/>
            </c:ext>
          </c:extLst>
        </c:ser>
        <c:ser>
          <c:idx val="1"/>
          <c:order val="1"/>
          <c:tx>
            <c:strRef>
              <c:f>'26.02.24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'26.02.24 보고자료 (수정중)'!$P$22:$R$22</c:f>
              <c:numCache>
                <c:formatCode>m"/"d;@</c:formatCode>
                <c:ptCount val="3"/>
                <c:pt idx="0">
                  <c:v>46062</c:v>
                </c:pt>
                <c:pt idx="1">
                  <c:v>46069</c:v>
                </c:pt>
                <c:pt idx="2">
                  <c:v>46076</c:v>
                </c:pt>
              </c:numCache>
            </c:numRef>
          </c:cat>
          <c:val>
            <c:numRef>
              <c:f>'26.02.24 보고자료 (수정중)'!$P$24:$R$24</c:f>
              <c:numCache>
                <c:formatCode>General</c:formatCode>
                <c:ptCount val="3"/>
                <c:pt idx="0">
                  <c:v>475</c:v>
                </c:pt>
                <c:pt idx="1">
                  <c:v>475</c:v>
                </c:pt>
                <c:pt idx="2">
                  <c:v>506</c:v>
                </c:pt>
              </c:numCache>
            </c:numRef>
          </c:val>
          <c:smooth val="0"/>
          <c:extLst>
            <c:ext xmlns:c16="http://schemas.microsoft.com/office/drawing/2014/chart" uri="{C3380CC4-5D6E-409C-BE32-E72D297353CC}">
              <c16:uniqueId val="{00000001-ACE8-4F54-95EA-99D7FDD78B4B}"/>
            </c:ext>
          </c:extLst>
        </c:ser>
        <c:ser>
          <c:idx val="2"/>
          <c:order val="2"/>
          <c:tx>
            <c:strRef>
              <c:f>'26.02.24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'26.02.24 보고자료 (수정중)'!$P$22:$R$22</c:f>
              <c:numCache>
                <c:formatCode>m"/"d;@</c:formatCode>
                <c:ptCount val="3"/>
                <c:pt idx="0">
                  <c:v>46062</c:v>
                </c:pt>
                <c:pt idx="1">
                  <c:v>46069</c:v>
                </c:pt>
                <c:pt idx="2">
                  <c:v>46076</c:v>
                </c:pt>
              </c:numCache>
            </c:numRef>
          </c:cat>
          <c:val>
            <c:numRef>
              <c:f>'26.02.24 보고자료 (수정중)'!$P$25:$R$25</c:f>
              <c:numCache>
                <c:formatCode>General</c:formatCode>
                <c:ptCount val="3"/>
                <c:pt idx="0">
                  <c:v>563</c:v>
                </c:pt>
                <c:pt idx="1">
                  <c:v>563</c:v>
                </c:pt>
                <c:pt idx="2">
                  <c:v>595</c:v>
                </c:pt>
              </c:numCache>
            </c:numRef>
          </c:val>
          <c:smooth val="0"/>
          <c:extLst>
            <c:ext xmlns:c16="http://schemas.microsoft.com/office/drawing/2014/chart" uri="{C3380CC4-5D6E-409C-BE32-E72D297353CC}">
              <c16:uniqueId val="{00000002-ACE8-4F54-95EA-99D7FDD78B4B}"/>
            </c:ext>
          </c:extLst>
        </c:ser>
        <c:ser>
          <c:idx val="3"/>
          <c:order val="3"/>
          <c:tx>
            <c:strRef>
              <c:f>'26.02.24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'26.02.24 보고자료 (수정중)'!$P$22:$R$22</c:f>
              <c:numCache>
                <c:formatCode>m"/"d;@</c:formatCode>
                <c:ptCount val="3"/>
                <c:pt idx="0">
                  <c:v>46062</c:v>
                </c:pt>
                <c:pt idx="1">
                  <c:v>46069</c:v>
                </c:pt>
                <c:pt idx="2">
                  <c:v>46076</c:v>
                </c:pt>
              </c:numCache>
            </c:numRef>
          </c:cat>
          <c:val>
            <c:numRef>
              <c:f>'26.02.24 보고자료 (수정중)'!$P$26:$R$26</c:f>
              <c:numCache>
                <c:formatCode>General</c:formatCode>
                <c:ptCount val="3"/>
                <c:pt idx="0">
                  <c:v>498</c:v>
                </c:pt>
                <c:pt idx="1">
                  <c:v>498</c:v>
                </c:pt>
                <c:pt idx="2">
                  <c:v>515</c:v>
                </c:pt>
              </c:numCache>
            </c:numRef>
          </c:val>
          <c:smooth val="0"/>
          <c:extLst>
            <c:ext xmlns:c16="http://schemas.microsoft.com/office/drawing/2014/chart" uri="{C3380CC4-5D6E-409C-BE32-E72D297353CC}">
              <c16:uniqueId val="{00000003-ACE8-4F54-95EA-99D7FDD78B4B}"/>
            </c:ext>
          </c:extLst>
        </c:ser>
        <c:ser>
          <c:idx val="4"/>
          <c:order val="4"/>
          <c:tx>
            <c:strRef>
              <c:f>'26.02.24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'26.02.24 보고자료 (수정중)'!$P$22:$R$22</c:f>
              <c:numCache>
                <c:formatCode>m"/"d;@</c:formatCode>
                <c:ptCount val="3"/>
                <c:pt idx="0">
                  <c:v>46062</c:v>
                </c:pt>
                <c:pt idx="1">
                  <c:v>46069</c:v>
                </c:pt>
                <c:pt idx="2">
                  <c:v>46076</c:v>
                </c:pt>
              </c:numCache>
            </c:numRef>
          </c:cat>
          <c:val>
            <c:numRef>
              <c:f>'26.02.24 보고자료 (수정중)'!$P$27:$R$27</c:f>
              <c:numCache>
                <c:formatCode>General</c:formatCode>
                <c:ptCount val="3"/>
              </c:numCache>
            </c:numRef>
          </c:val>
          <c:smooth val="0"/>
          <c:extLst>
            <c:ext xmlns:c16="http://schemas.microsoft.com/office/drawing/2014/chart" uri="{C3380CC4-5D6E-409C-BE32-E72D297353CC}">
              <c16:uniqueId val="{00000004-ACE8-4F54-95EA-99D7FDD78B4B}"/>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9.1556876250388095E-2"/>
          <c:y val="1.3485478921430528E-2"/>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53938827505858E-2"/>
          <c:y val="0.11460349550163525"/>
          <c:w val="0.93053868916580484"/>
          <c:h val="0.695508739356131"/>
        </c:manualLayout>
      </c:layout>
      <c:lineChart>
        <c:grouping val="standard"/>
        <c:varyColors val="0"/>
        <c:ser>
          <c:idx val="0"/>
          <c:order val="0"/>
          <c:tx>
            <c:v>Avg.KR</c:v>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2026년 1월 19 Jan</c:v>
              </c:pt>
              <c:pt idx="1">
                <c:v>2026년 1월 20 Jan</c:v>
              </c:pt>
              <c:pt idx="2">
                <c:v>2026년 1월 21 Jan</c:v>
              </c:pt>
              <c:pt idx="3">
                <c:v>2026년 1월 22 Jan</c:v>
              </c:pt>
              <c:pt idx="4">
                <c:v>2026년 1월 23 Jan</c:v>
              </c:pt>
              <c:pt idx="5">
                <c:v>2026년 1월 26 Jan</c:v>
              </c:pt>
              <c:pt idx="6">
                <c:v>2026년 1월 27 Jan</c:v>
              </c:pt>
              <c:pt idx="7">
                <c:v>2026년 1월 28 Jan</c:v>
              </c:pt>
              <c:pt idx="8">
                <c:v>2026년 1월 29 Jan</c:v>
              </c:pt>
              <c:pt idx="9">
                <c:v>2026년 1월 30 Jan</c:v>
              </c:pt>
              <c:pt idx="10">
                <c:v>2026년 2월 02 Feb</c:v>
              </c:pt>
              <c:pt idx="11">
                <c:v>2026년 2월 03 Feb</c:v>
              </c:pt>
              <c:pt idx="12">
                <c:v>2026년 2월 04 Feb</c:v>
              </c:pt>
              <c:pt idx="13">
                <c:v>2026년 2월 05 Feb</c:v>
              </c:pt>
              <c:pt idx="14">
                <c:v>2026년 2월 06 Feb</c:v>
              </c:pt>
              <c:pt idx="15">
                <c:v>2026년 2월 09 Feb</c:v>
              </c:pt>
            </c:strLit>
          </c:cat>
          <c:val>
            <c:numLit>
              <c:formatCode>General</c:formatCode>
              <c:ptCount val="16"/>
              <c:pt idx="0">
                <c:v>73.430000000000007</c:v>
              </c:pt>
              <c:pt idx="1">
                <c:v>77.75</c:v>
              </c:pt>
              <c:pt idx="2">
                <c:v>76.819999999999993</c:v>
              </c:pt>
              <c:pt idx="3">
                <c:v>81.779999999999973</c:v>
              </c:pt>
              <c:pt idx="4">
                <c:v>76.12</c:v>
              </c:pt>
              <c:pt idx="5">
                <c:v>73.649999999999977</c:v>
              </c:pt>
              <c:pt idx="6">
                <c:v>60.839999999999975</c:v>
              </c:pt>
              <c:pt idx="7">
                <c:v>52.389999999999986</c:v>
              </c:pt>
              <c:pt idx="8">
                <c:v>53.300000000000011</c:v>
              </c:pt>
              <c:pt idx="9">
                <c:v>38.45999999999998</c:v>
              </c:pt>
              <c:pt idx="10">
                <c:v>34.100000000000023</c:v>
              </c:pt>
              <c:pt idx="11">
                <c:v>43.069999999999993</c:v>
              </c:pt>
              <c:pt idx="12">
                <c:v>27.879999999999995</c:v>
              </c:pt>
              <c:pt idx="13">
                <c:v>46.839999999999975</c:v>
              </c:pt>
              <c:pt idx="14">
                <c:v>52.20999999999998</c:v>
              </c:pt>
              <c:pt idx="15">
                <c:v>51.009999999999991</c:v>
              </c:pt>
            </c:numLit>
          </c:val>
          <c:smooth val="0"/>
          <c:extLst>
            <c:ext xmlns:c16="http://schemas.microsoft.com/office/drawing/2014/chart" uri="{C3380CC4-5D6E-409C-BE32-E72D297353CC}">
              <c16:uniqueId val="{00000000-21D7-4401-833C-029C887C0894}"/>
            </c:ext>
          </c:extLst>
        </c:ser>
        <c:ser>
          <c:idx val="1"/>
          <c:order val="1"/>
          <c:tx>
            <c:v>Avg.SP</c:v>
          </c:tx>
          <c:spPr>
            <a:ln w="9525" cap="rnd">
              <a:solidFill>
                <a:schemeClr val="accent6">
                  <a:lumMod val="75000"/>
                </a:schemeClr>
              </a:solidFill>
              <a:round/>
            </a:ln>
            <a:effectLst/>
          </c:spPr>
          <c:marker>
            <c:symbol val="none"/>
          </c:marker>
          <c:cat>
            <c:strLit>
              <c:ptCount val="16"/>
              <c:pt idx="0">
                <c:v>2026년 1월 19 Jan</c:v>
              </c:pt>
              <c:pt idx="1">
                <c:v>2026년 1월 20 Jan</c:v>
              </c:pt>
              <c:pt idx="2">
                <c:v>2026년 1월 21 Jan</c:v>
              </c:pt>
              <c:pt idx="3">
                <c:v>2026년 1월 22 Jan</c:v>
              </c:pt>
              <c:pt idx="4">
                <c:v>2026년 1월 23 Jan</c:v>
              </c:pt>
              <c:pt idx="5">
                <c:v>2026년 1월 26 Jan</c:v>
              </c:pt>
              <c:pt idx="6">
                <c:v>2026년 1월 27 Jan</c:v>
              </c:pt>
              <c:pt idx="7">
                <c:v>2026년 1월 28 Jan</c:v>
              </c:pt>
              <c:pt idx="8">
                <c:v>2026년 1월 29 Jan</c:v>
              </c:pt>
              <c:pt idx="9">
                <c:v>2026년 1월 30 Jan</c:v>
              </c:pt>
              <c:pt idx="10">
                <c:v>2026년 2월 02 Feb</c:v>
              </c:pt>
              <c:pt idx="11">
                <c:v>2026년 2월 03 Feb</c:v>
              </c:pt>
              <c:pt idx="12">
                <c:v>2026년 2월 04 Feb</c:v>
              </c:pt>
              <c:pt idx="13">
                <c:v>2026년 2월 05 Feb</c:v>
              </c:pt>
              <c:pt idx="14">
                <c:v>2026년 2월 06 Feb</c:v>
              </c:pt>
              <c:pt idx="15">
                <c:v>2026년 2월 09 Feb</c:v>
              </c:pt>
            </c:strLit>
          </c:cat>
          <c:val>
            <c:numLit>
              <c:formatCode>General</c:formatCode>
              <c:ptCount val="16"/>
              <c:pt idx="0">
                <c:v>15.180000000000007</c:v>
              </c:pt>
              <c:pt idx="1">
                <c:v>15</c:v>
              </c:pt>
              <c:pt idx="2">
                <c:v>15.319999999999993</c:v>
              </c:pt>
              <c:pt idx="3">
                <c:v>17.029999999999973</c:v>
              </c:pt>
              <c:pt idx="4">
                <c:v>19.870000000000005</c:v>
              </c:pt>
              <c:pt idx="5">
                <c:v>20.649999999999977</c:v>
              </c:pt>
              <c:pt idx="6">
                <c:v>25.339999999999975</c:v>
              </c:pt>
              <c:pt idx="7">
                <c:v>25.889999999999986</c:v>
              </c:pt>
              <c:pt idx="8">
                <c:v>25.550000000000011</c:v>
              </c:pt>
              <c:pt idx="9">
                <c:v>26.95999999999998</c:v>
              </c:pt>
              <c:pt idx="10">
                <c:v>27.850000000000023</c:v>
              </c:pt>
              <c:pt idx="11">
                <c:v>27.569999999999993</c:v>
              </c:pt>
              <c:pt idx="12">
                <c:v>27.879999999999995</c:v>
              </c:pt>
              <c:pt idx="13">
                <c:v>28.839999999999975</c:v>
              </c:pt>
              <c:pt idx="14">
                <c:v>29.20999999999998</c:v>
              </c:pt>
              <c:pt idx="15">
                <c:v>27.259999999999991</c:v>
              </c:pt>
            </c:numLit>
          </c:val>
          <c:smooth val="0"/>
          <c:extLst>
            <c:ext xmlns:c16="http://schemas.microsoft.com/office/drawing/2014/chart" uri="{C3380CC4-5D6E-409C-BE32-E72D297353CC}">
              <c16:uniqueId val="{00000001-21D7-4401-833C-029C887C0894}"/>
            </c:ext>
          </c:extLst>
        </c:ser>
        <c:ser>
          <c:idx val="2"/>
          <c:order val="2"/>
          <c:tx>
            <c:v>Avg.ZS</c:v>
          </c:tx>
          <c:spPr>
            <a:ln w="9525" cap="rnd">
              <a:solidFill>
                <a:schemeClr val="accent1">
                  <a:lumMod val="75000"/>
                </a:schemeClr>
              </a:solidFill>
              <a:round/>
            </a:ln>
            <a:effectLst/>
          </c:spPr>
          <c:marker>
            <c:symbol val="none"/>
          </c:marker>
          <c:cat>
            <c:strLit>
              <c:ptCount val="16"/>
              <c:pt idx="0">
                <c:v>2026년 1월 19 Jan</c:v>
              </c:pt>
              <c:pt idx="1">
                <c:v>2026년 1월 20 Jan</c:v>
              </c:pt>
              <c:pt idx="2">
                <c:v>2026년 1월 21 Jan</c:v>
              </c:pt>
              <c:pt idx="3">
                <c:v>2026년 1월 22 Jan</c:v>
              </c:pt>
              <c:pt idx="4">
                <c:v>2026년 1월 23 Jan</c:v>
              </c:pt>
              <c:pt idx="5">
                <c:v>2026년 1월 26 Jan</c:v>
              </c:pt>
              <c:pt idx="6">
                <c:v>2026년 1월 27 Jan</c:v>
              </c:pt>
              <c:pt idx="7">
                <c:v>2026년 1월 28 Jan</c:v>
              </c:pt>
              <c:pt idx="8">
                <c:v>2026년 1월 29 Jan</c:v>
              </c:pt>
              <c:pt idx="9">
                <c:v>2026년 1월 30 Jan</c:v>
              </c:pt>
              <c:pt idx="10">
                <c:v>2026년 2월 02 Feb</c:v>
              </c:pt>
              <c:pt idx="11">
                <c:v>2026년 2월 03 Feb</c:v>
              </c:pt>
              <c:pt idx="12">
                <c:v>2026년 2월 04 Feb</c:v>
              </c:pt>
              <c:pt idx="13">
                <c:v>2026년 2월 05 Feb</c:v>
              </c:pt>
              <c:pt idx="14">
                <c:v>2026년 2월 06 Feb</c:v>
              </c:pt>
              <c:pt idx="15">
                <c:v>2026년 2월 09 Feb</c:v>
              </c:pt>
            </c:strLit>
          </c:cat>
          <c:val>
            <c:numLit>
              <c:formatCode>General</c:formatCode>
              <c:ptCount val="16"/>
              <c:pt idx="0">
                <c:v>27.180000000000007</c:v>
              </c:pt>
              <c:pt idx="1">
                <c:v>28</c:v>
              </c:pt>
              <c:pt idx="2">
                <c:v>29.319999999999993</c:v>
              </c:pt>
              <c:pt idx="3">
                <c:v>30.029999999999973</c:v>
              </c:pt>
              <c:pt idx="4">
                <c:v>29.870000000000005</c:v>
              </c:pt>
              <c:pt idx="5">
                <c:v>29.649999999999977</c:v>
              </c:pt>
              <c:pt idx="6">
                <c:v>29.339999999999975</c:v>
              </c:pt>
              <c:pt idx="7">
                <c:v>30.889999999999986</c:v>
              </c:pt>
              <c:pt idx="8">
                <c:v>33.550000000000011</c:v>
              </c:pt>
              <c:pt idx="9">
                <c:v>33.95999999999998</c:v>
              </c:pt>
              <c:pt idx="10">
                <c:v>35.850000000000023</c:v>
              </c:pt>
              <c:pt idx="11">
                <c:v>34.569999999999993</c:v>
              </c:pt>
              <c:pt idx="12">
                <c:v>33.879999999999995</c:v>
              </c:pt>
              <c:pt idx="13">
                <c:v>34.839999999999975</c:v>
              </c:pt>
              <c:pt idx="14">
                <c:v>35.20999999999998</c:v>
              </c:pt>
              <c:pt idx="15">
                <c:v>34.259999999999991</c:v>
              </c:pt>
            </c:numLit>
          </c:val>
          <c:smooth val="0"/>
          <c:extLst>
            <c:ext xmlns:c16="http://schemas.microsoft.com/office/drawing/2014/chart" uri="{C3380CC4-5D6E-409C-BE32-E72D297353CC}">
              <c16:uniqueId val="{00000002-21D7-4401-833C-029C887C0894}"/>
            </c:ext>
          </c:extLst>
        </c:ser>
        <c:ser>
          <c:idx val="3"/>
          <c:order val="3"/>
          <c:tx>
            <c:v>Avg.KR '25 25%</c:v>
          </c:tx>
          <c:spPr>
            <a:ln w="12700" cap="rnd">
              <a:solidFill>
                <a:srgbClr val="C00000"/>
              </a:solidFill>
              <a:prstDash val="dash"/>
              <a:round/>
            </a:ln>
            <a:effectLst/>
          </c:spPr>
          <c:marker>
            <c:symbol val="none"/>
          </c:marker>
          <c:cat>
            <c:strLit>
              <c:ptCount val="16"/>
              <c:pt idx="0">
                <c:v>2026년 1월 19 Jan</c:v>
              </c:pt>
              <c:pt idx="1">
                <c:v>2026년 1월 20 Jan</c:v>
              </c:pt>
              <c:pt idx="2">
                <c:v>2026년 1월 21 Jan</c:v>
              </c:pt>
              <c:pt idx="3">
                <c:v>2026년 1월 22 Jan</c:v>
              </c:pt>
              <c:pt idx="4">
                <c:v>2026년 1월 23 Jan</c:v>
              </c:pt>
              <c:pt idx="5">
                <c:v>2026년 1월 26 Jan</c:v>
              </c:pt>
              <c:pt idx="6">
                <c:v>2026년 1월 27 Jan</c:v>
              </c:pt>
              <c:pt idx="7">
                <c:v>2026년 1월 28 Jan</c:v>
              </c:pt>
              <c:pt idx="8">
                <c:v>2026년 1월 29 Jan</c:v>
              </c:pt>
              <c:pt idx="9">
                <c:v>2026년 1월 30 Jan</c:v>
              </c:pt>
              <c:pt idx="10">
                <c:v>2026년 2월 02 Feb</c:v>
              </c:pt>
              <c:pt idx="11">
                <c:v>2026년 2월 03 Feb</c:v>
              </c:pt>
              <c:pt idx="12">
                <c:v>2026년 2월 04 Feb</c:v>
              </c:pt>
              <c:pt idx="13">
                <c:v>2026년 2월 05 Feb</c:v>
              </c:pt>
              <c:pt idx="14">
                <c:v>2026년 2월 06 Feb</c:v>
              </c:pt>
              <c:pt idx="15">
                <c:v>2026년 2월 09 Feb</c:v>
              </c:pt>
            </c:strLit>
          </c:cat>
          <c:val>
            <c:numLit>
              <c:formatCode>General</c:formatCode>
              <c:ptCount val="16"/>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pt idx="15">
                <c:v>23.747500000000002</c:v>
              </c:pt>
            </c:numLit>
          </c:val>
          <c:smooth val="0"/>
          <c:extLst>
            <c:ext xmlns:c16="http://schemas.microsoft.com/office/drawing/2014/chart" uri="{C3380CC4-5D6E-409C-BE32-E72D297353CC}">
              <c16:uniqueId val="{00000003-21D7-4401-833C-029C887C0894}"/>
            </c:ext>
          </c:extLst>
        </c:ser>
        <c:ser>
          <c:idx val="4"/>
          <c:order val="4"/>
          <c:tx>
            <c:v>Avg.KR '25 75%</c:v>
          </c:tx>
          <c:spPr>
            <a:ln w="12700" cap="rnd">
              <a:solidFill>
                <a:srgbClr val="C00000"/>
              </a:solidFill>
              <a:prstDash val="dash"/>
              <a:round/>
            </a:ln>
            <a:effectLst/>
          </c:spPr>
          <c:marker>
            <c:symbol val="none"/>
          </c:marker>
          <c:cat>
            <c:strLit>
              <c:ptCount val="16"/>
              <c:pt idx="0">
                <c:v>2026년 1월 19 Jan</c:v>
              </c:pt>
              <c:pt idx="1">
                <c:v>2026년 1월 20 Jan</c:v>
              </c:pt>
              <c:pt idx="2">
                <c:v>2026년 1월 21 Jan</c:v>
              </c:pt>
              <c:pt idx="3">
                <c:v>2026년 1월 22 Jan</c:v>
              </c:pt>
              <c:pt idx="4">
                <c:v>2026년 1월 23 Jan</c:v>
              </c:pt>
              <c:pt idx="5">
                <c:v>2026년 1월 26 Jan</c:v>
              </c:pt>
              <c:pt idx="6">
                <c:v>2026년 1월 27 Jan</c:v>
              </c:pt>
              <c:pt idx="7">
                <c:v>2026년 1월 28 Jan</c:v>
              </c:pt>
              <c:pt idx="8">
                <c:v>2026년 1월 29 Jan</c:v>
              </c:pt>
              <c:pt idx="9">
                <c:v>2026년 1월 30 Jan</c:v>
              </c:pt>
              <c:pt idx="10">
                <c:v>2026년 2월 02 Feb</c:v>
              </c:pt>
              <c:pt idx="11">
                <c:v>2026년 2월 03 Feb</c:v>
              </c:pt>
              <c:pt idx="12">
                <c:v>2026년 2월 04 Feb</c:v>
              </c:pt>
              <c:pt idx="13">
                <c:v>2026년 2월 05 Feb</c:v>
              </c:pt>
              <c:pt idx="14">
                <c:v>2026년 2월 06 Feb</c:v>
              </c:pt>
              <c:pt idx="15">
                <c:v>2026년 2월 09 Feb</c:v>
              </c:pt>
            </c:strLit>
          </c:cat>
          <c:val>
            <c:numLit>
              <c:formatCode>General</c:formatCode>
              <c:ptCount val="16"/>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pt idx="15">
                <c:v>51.122500000000002</c:v>
              </c:pt>
            </c:numLit>
          </c:val>
          <c:smooth val="0"/>
          <c:extLst>
            <c:ext xmlns:c16="http://schemas.microsoft.com/office/drawing/2014/chart" uri="{C3380CC4-5D6E-409C-BE32-E72D297353CC}">
              <c16:uniqueId val="{00000004-21D7-4401-833C-029C887C0894}"/>
            </c:ext>
          </c:extLst>
        </c:ser>
        <c:ser>
          <c:idx val="5"/>
          <c:order val="5"/>
          <c:tx>
            <c:v>Avg.SP '25 25%</c:v>
          </c:tx>
          <c:spPr>
            <a:ln w="9525" cap="rnd">
              <a:solidFill>
                <a:schemeClr val="accent6">
                  <a:lumMod val="75000"/>
                </a:schemeClr>
              </a:solidFill>
              <a:prstDash val="sysDash"/>
              <a:round/>
            </a:ln>
            <a:effectLst/>
          </c:spPr>
          <c:marker>
            <c:symbol val="none"/>
          </c:marker>
          <c:cat>
            <c:strLit>
              <c:ptCount val="16"/>
              <c:pt idx="0">
                <c:v>2026년 1월 19 Jan</c:v>
              </c:pt>
              <c:pt idx="1">
                <c:v>2026년 1월 20 Jan</c:v>
              </c:pt>
              <c:pt idx="2">
                <c:v>2026년 1월 21 Jan</c:v>
              </c:pt>
              <c:pt idx="3">
                <c:v>2026년 1월 22 Jan</c:v>
              </c:pt>
              <c:pt idx="4">
                <c:v>2026년 1월 23 Jan</c:v>
              </c:pt>
              <c:pt idx="5">
                <c:v>2026년 1월 26 Jan</c:v>
              </c:pt>
              <c:pt idx="6">
                <c:v>2026년 1월 27 Jan</c:v>
              </c:pt>
              <c:pt idx="7">
                <c:v>2026년 1월 28 Jan</c:v>
              </c:pt>
              <c:pt idx="8">
                <c:v>2026년 1월 29 Jan</c:v>
              </c:pt>
              <c:pt idx="9">
                <c:v>2026년 1월 30 Jan</c:v>
              </c:pt>
              <c:pt idx="10">
                <c:v>2026년 2월 02 Feb</c:v>
              </c:pt>
              <c:pt idx="11">
                <c:v>2026년 2월 03 Feb</c:v>
              </c:pt>
              <c:pt idx="12">
                <c:v>2026년 2월 04 Feb</c:v>
              </c:pt>
              <c:pt idx="13">
                <c:v>2026년 2월 05 Feb</c:v>
              </c:pt>
              <c:pt idx="14">
                <c:v>2026년 2월 06 Feb</c:v>
              </c:pt>
              <c:pt idx="15">
                <c:v>2026년 2월 09 Feb</c:v>
              </c:pt>
            </c:strLit>
          </c:cat>
          <c:val>
            <c:numLit>
              <c:formatCode>General</c:formatCode>
              <c:ptCount val="16"/>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pt idx="15">
                <c:v>10.920000000000016</c:v>
              </c:pt>
            </c:numLit>
          </c:val>
          <c:smooth val="0"/>
          <c:extLst>
            <c:ext xmlns:c16="http://schemas.microsoft.com/office/drawing/2014/chart" uri="{C3380CC4-5D6E-409C-BE32-E72D297353CC}">
              <c16:uniqueId val="{00000005-21D7-4401-833C-029C887C0894}"/>
            </c:ext>
          </c:extLst>
        </c:ser>
        <c:ser>
          <c:idx val="6"/>
          <c:order val="6"/>
          <c:tx>
            <c:v>Avg.SP '25 75%</c:v>
          </c:tx>
          <c:spPr>
            <a:ln w="9525" cap="rnd">
              <a:solidFill>
                <a:schemeClr val="accent6">
                  <a:lumMod val="75000"/>
                </a:schemeClr>
              </a:solidFill>
              <a:prstDash val="sysDash"/>
              <a:round/>
            </a:ln>
            <a:effectLst/>
          </c:spPr>
          <c:marker>
            <c:symbol val="none"/>
          </c:marker>
          <c:cat>
            <c:strLit>
              <c:ptCount val="16"/>
              <c:pt idx="0">
                <c:v>2026년 1월 19 Jan</c:v>
              </c:pt>
              <c:pt idx="1">
                <c:v>2026년 1월 20 Jan</c:v>
              </c:pt>
              <c:pt idx="2">
                <c:v>2026년 1월 21 Jan</c:v>
              </c:pt>
              <c:pt idx="3">
                <c:v>2026년 1월 22 Jan</c:v>
              </c:pt>
              <c:pt idx="4">
                <c:v>2026년 1월 23 Jan</c:v>
              </c:pt>
              <c:pt idx="5">
                <c:v>2026년 1월 26 Jan</c:v>
              </c:pt>
              <c:pt idx="6">
                <c:v>2026년 1월 27 Jan</c:v>
              </c:pt>
              <c:pt idx="7">
                <c:v>2026년 1월 28 Jan</c:v>
              </c:pt>
              <c:pt idx="8">
                <c:v>2026년 1월 29 Jan</c:v>
              </c:pt>
              <c:pt idx="9">
                <c:v>2026년 1월 30 Jan</c:v>
              </c:pt>
              <c:pt idx="10">
                <c:v>2026년 2월 02 Feb</c:v>
              </c:pt>
              <c:pt idx="11">
                <c:v>2026년 2월 03 Feb</c:v>
              </c:pt>
              <c:pt idx="12">
                <c:v>2026년 2월 04 Feb</c:v>
              </c:pt>
              <c:pt idx="13">
                <c:v>2026년 2월 05 Feb</c:v>
              </c:pt>
              <c:pt idx="14">
                <c:v>2026년 2월 06 Feb</c:v>
              </c:pt>
              <c:pt idx="15">
                <c:v>2026년 2월 09 Feb</c:v>
              </c:pt>
            </c:strLit>
          </c:cat>
          <c:val>
            <c:numLit>
              <c:formatCode>General</c:formatCode>
              <c:ptCount val="16"/>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pt idx="15">
                <c:v>13.480000000000018</c:v>
              </c:pt>
            </c:numLit>
          </c:val>
          <c:smooth val="0"/>
          <c:extLst>
            <c:ext xmlns:c16="http://schemas.microsoft.com/office/drawing/2014/chart" uri="{C3380CC4-5D6E-409C-BE32-E72D297353CC}">
              <c16:uniqueId val="{00000006-21D7-4401-833C-029C887C0894}"/>
            </c:ext>
          </c:extLst>
        </c:ser>
        <c:ser>
          <c:idx val="7"/>
          <c:order val="7"/>
          <c:tx>
            <c:v>Avg. JP Spread</c:v>
          </c:tx>
          <c:spPr>
            <a:ln w="12700" cap="rnd">
              <a:solidFill>
                <a:schemeClr val="tx1">
                  <a:lumMod val="75000"/>
                  <a:lumOff val="25000"/>
                </a:schemeClr>
              </a:solidFill>
              <a:round/>
            </a:ln>
            <a:effectLst/>
          </c:spPr>
          <c:marker>
            <c:symbol val="none"/>
          </c:marker>
          <c:cat>
            <c:strLit>
              <c:ptCount val="16"/>
              <c:pt idx="0">
                <c:v>2026년 1월 19 Jan</c:v>
              </c:pt>
              <c:pt idx="1">
                <c:v>2026년 1월 20 Jan</c:v>
              </c:pt>
              <c:pt idx="2">
                <c:v>2026년 1월 21 Jan</c:v>
              </c:pt>
              <c:pt idx="3">
                <c:v>2026년 1월 22 Jan</c:v>
              </c:pt>
              <c:pt idx="4">
                <c:v>2026년 1월 23 Jan</c:v>
              </c:pt>
              <c:pt idx="5">
                <c:v>2026년 1월 26 Jan</c:v>
              </c:pt>
              <c:pt idx="6">
                <c:v>2026년 1월 27 Jan</c:v>
              </c:pt>
              <c:pt idx="7">
                <c:v>2026년 1월 28 Jan</c:v>
              </c:pt>
              <c:pt idx="8">
                <c:v>2026년 1월 29 Jan</c:v>
              </c:pt>
              <c:pt idx="9">
                <c:v>2026년 1월 30 Jan</c:v>
              </c:pt>
              <c:pt idx="10">
                <c:v>2026년 2월 02 Feb</c:v>
              </c:pt>
              <c:pt idx="11">
                <c:v>2026년 2월 03 Feb</c:v>
              </c:pt>
              <c:pt idx="12">
                <c:v>2026년 2월 04 Feb</c:v>
              </c:pt>
              <c:pt idx="13">
                <c:v>2026년 2월 05 Feb</c:v>
              </c:pt>
              <c:pt idx="14">
                <c:v>2026년 2월 06 Feb</c:v>
              </c:pt>
              <c:pt idx="15">
                <c:v>2026년 2월 09 Feb</c:v>
              </c:pt>
            </c:strLit>
          </c:cat>
          <c:val>
            <c:numLit>
              <c:formatCode>General</c:formatCode>
              <c:ptCount val="16"/>
              <c:pt idx="0">
                <c:v>58.180000000000007</c:v>
              </c:pt>
              <c:pt idx="1">
                <c:v>59</c:v>
              </c:pt>
              <c:pt idx="2">
                <c:v>57.319999999999993</c:v>
              </c:pt>
              <c:pt idx="3">
                <c:v>57.029999999999973</c:v>
              </c:pt>
              <c:pt idx="4">
                <c:v>56.870000000000005</c:v>
              </c:pt>
              <c:pt idx="5">
                <c:v>53.649999999999977</c:v>
              </c:pt>
              <c:pt idx="6">
                <c:v>53.339999999999975</c:v>
              </c:pt>
              <c:pt idx="7">
                <c:v>49.889999999999986</c:v>
              </c:pt>
              <c:pt idx="8">
                <c:v>47.550000000000011</c:v>
              </c:pt>
              <c:pt idx="9">
                <c:v>50.95999999999998</c:v>
              </c:pt>
              <c:pt idx="10">
                <c:v>55.850000000000023</c:v>
              </c:pt>
              <c:pt idx="11">
                <c:v>55.569999999999993</c:v>
              </c:pt>
              <c:pt idx="12">
                <c:v>55.879999999999995</c:v>
              </c:pt>
              <c:pt idx="13">
                <c:v>55.839999999999975</c:v>
              </c:pt>
              <c:pt idx="14">
                <c:v>55.20999999999998</c:v>
              </c:pt>
              <c:pt idx="15">
                <c:v>54.259999999999991</c:v>
              </c:pt>
            </c:numLit>
          </c:val>
          <c:smooth val="0"/>
          <c:extLst>
            <c:ext xmlns:c16="http://schemas.microsoft.com/office/drawing/2014/chart" uri="{C3380CC4-5D6E-409C-BE32-E72D297353CC}">
              <c16:uniqueId val="{00000007-21D7-4401-833C-029C887C0894}"/>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813]dd/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ayout>
        <c:manualLayout>
          <c:xMode val="edge"/>
          <c:yMode val="edge"/>
          <c:x val="5.8732617709405965E-2"/>
          <c:y val="2.5296090144601564E-2"/>
          <c:w val="0.91304378092567584"/>
          <c:h val="7.3819922174609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'26.02.10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'26.02.10 보고자료 (수정중)'!$C$22:$F$22</c:f>
              <c:strCache>
                <c:ptCount val="4"/>
                <c:pt idx="0">
                  <c:v>1/26</c:v>
                </c:pt>
                <c:pt idx="1">
                  <c:v>2/2</c:v>
                </c:pt>
                <c:pt idx="2">
                  <c:v>2/9</c:v>
                </c:pt>
                <c:pt idx="3">
                  <c:v>2/10
This week assumption </c:v>
                </c:pt>
              </c:strCache>
            </c:strRef>
          </c:cat>
          <c:val>
            <c:numRef>
              <c:f>'26.02.10 보고자료 (수정중)'!$C$23:$F$23</c:f>
              <c:numCache>
                <c:formatCode>General</c:formatCode>
                <c:ptCount val="4"/>
                <c:pt idx="0">
                  <c:v>40</c:v>
                </c:pt>
                <c:pt idx="1">
                  <c:v>18</c:v>
                </c:pt>
                <c:pt idx="2">
                  <c:v>38</c:v>
                </c:pt>
                <c:pt idx="3">
                  <c:v>36</c:v>
                </c:pt>
              </c:numCache>
            </c:numRef>
          </c:val>
          <c:smooth val="0"/>
          <c:extLst>
            <c:ext xmlns:c16="http://schemas.microsoft.com/office/drawing/2014/chart" uri="{C3380CC4-5D6E-409C-BE32-E72D297353CC}">
              <c16:uniqueId val="{00000000-987E-44B8-B260-CBE5D38028B3}"/>
            </c:ext>
          </c:extLst>
        </c:ser>
        <c:ser>
          <c:idx val="1"/>
          <c:order val="1"/>
          <c:tx>
            <c:strRef>
              <c:f>'26.02.10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'26.02.10 보고자료 (수정중)'!$C$22:$F$22</c:f>
              <c:strCache>
                <c:ptCount val="4"/>
                <c:pt idx="0">
                  <c:v>1/26</c:v>
                </c:pt>
                <c:pt idx="1">
                  <c:v>2/2</c:v>
                </c:pt>
                <c:pt idx="2">
                  <c:v>2/9</c:v>
                </c:pt>
                <c:pt idx="3">
                  <c:v>2/10
This week assumption </c:v>
                </c:pt>
              </c:strCache>
            </c:strRef>
          </c:cat>
          <c:val>
            <c:numRef>
              <c:f>'26.02.10 보고자료 (수정중)'!$C$24:$F$24</c:f>
              <c:numCache>
                <c:formatCode>General</c:formatCode>
                <c:ptCount val="4"/>
                <c:pt idx="0">
                  <c:v>35</c:v>
                </c:pt>
                <c:pt idx="1">
                  <c:v>17</c:v>
                </c:pt>
                <c:pt idx="2">
                  <c:v>34</c:v>
                </c:pt>
                <c:pt idx="3">
                  <c:v>35</c:v>
                </c:pt>
              </c:numCache>
            </c:numRef>
          </c:val>
          <c:smooth val="0"/>
          <c:extLst>
            <c:ext xmlns:c16="http://schemas.microsoft.com/office/drawing/2014/chart" uri="{C3380CC4-5D6E-409C-BE32-E72D297353CC}">
              <c16:uniqueId val="{00000001-987E-44B8-B260-CBE5D38028B3}"/>
            </c:ext>
          </c:extLst>
        </c:ser>
        <c:ser>
          <c:idx val="2"/>
          <c:order val="2"/>
          <c:tx>
            <c:strRef>
              <c:f>'26.02.10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'26.02.10 보고자료 (수정중)'!$C$22:$F$22</c:f>
              <c:strCache>
                <c:ptCount val="4"/>
                <c:pt idx="0">
                  <c:v>1/26</c:v>
                </c:pt>
                <c:pt idx="1">
                  <c:v>2/2</c:v>
                </c:pt>
                <c:pt idx="2">
                  <c:v>2/9</c:v>
                </c:pt>
                <c:pt idx="3">
                  <c:v>2/10
This week assumption </c:v>
                </c:pt>
              </c:strCache>
            </c:strRef>
          </c:cat>
          <c:val>
            <c:numRef>
              <c:f>'26.02.10 보고자료 (수정중)'!$C$25:$F$25</c:f>
              <c:numCache>
                <c:formatCode>General</c:formatCode>
                <c:ptCount val="4"/>
                <c:pt idx="0">
                  <c:v>45</c:v>
                </c:pt>
                <c:pt idx="1">
                  <c:v>17</c:v>
                </c:pt>
                <c:pt idx="2">
                  <c:v>33</c:v>
                </c:pt>
                <c:pt idx="3">
                  <c:v>31</c:v>
                </c:pt>
              </c:numCache>
            </c:numRef>
          </c:val>
          <c:smooth val="0"/>
          <c:extLst>
            <c:ext xmlns:c16="http://schemas.microsoft.com/office/drawing/2014/chart" uri="{C3380CC4-5D6E-409C-BE32-E72D297353CC}">
              <c16:uniqueId val="{00000002-987E-44B8-B260-CBE5D38028B3}"/>
            </c:ext>
          </c:extLst>
        </c:ser>
        <c:ser>
          <c:idx val="3"/>
          <c:order val="3"/>
          <c:tx>
            <c:strRef>
              <c:f>'26.02.10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'26.02.10 보고자료 (수정중)'!$C$22:$F$22</c:f>
              <c:strCache>
                <c:ptCount val="4"/>
                <c:pt idx="0">
                  <c:v>1/26</c:v>
                </c:pt>
                <c:pt idx="1">
                  <c:v>2/2</c:v>
                </c:pt>
                <c:pt idx="2">
                  <c:v>2/9</c:v>
                </c:pt>
                <c:pt idx="3">
                  <c:v>2/10
This week assumption </c:v>
                </c:pt>
              </c:strCache>
            </c:strRef>
          </c:cat>
          <c:val>
            <c:numRef>
              <c:f>'26.02.10 보고자료 (수정중)'!$C$26:$F$26</c:f>
              <c:numCache>
                <c:formatCode>General</c:formatCode>
                <c:ptCount val="4"/>
                <c:pt idx="0">
                  <c:v>60</c:v>
                </c:pt>
                <c:pt idx="1">
                  <c:v>40</c:v>
                </c:pt>
                <c:pt idx="2">
                  <c:v>50</c:v>
                </c:pt>
                <c:pt idx="3">
                  <c:v>50</c:v>
                </c:pt>
              </c:numCache>
            </c:numRef>
          </c:val>
          <c:smooth val="0"/>
          <c:extLst>
            <c:ext xmlns:c16="http://schemas.microsoft.com/office/drawing/2014/chart" uri="{C3380CC4-5D6E-409C-BE32-E72D297353CC}">
              <c16:uniqueId val="{00000003-987E-44B8-B260-CBE5D38028B3}"/>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'26.02.10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'26.02.10 보고자료 (수정중)'!$P$22:$R$22</c:f>
              <c:numCache>
                <c:formatCode>m"/"d;@</c:formatCode>
                <c:ptCount val="3"/>
                <c:pt idx="0">
                  <c:v>46048</c:v>
                </c:pt>
                <c:pt idx="1">
                  <c:v>46055</c:v>
                </c:pt>
                <c:pt idx="2">
                  <c:v>46062</c:v>
                </c:pt>
              </c:numCache>
            </c:numRef>
          </c:cat>
          <c:val>
            <c:numRef>
              <c:f>'26.02.10 보고자료 (수정중)'!$P$23:$R$23</c:f>
              <c:numCache>
                <c:formatCode>General</c:formatCode>
                <c:ptCount val="3"/>
                <c:pt idx="0">
                  <c:v>511</c:v>
                </c:pt>
                <c:pt idx="1">
                  <c:v>470</c:v>
                </c:pt>
                <c:pt idx="2">
                  <c:v>490</c:v>
                </c:pt>
              </c:numCache>
            </c:numRef>
          </c:val>
          <c:smooth val="0"/>
          <c:extLst>
            <c:ext xmlns:c16="http://schemas.microsoft.com/office/drawing/2014/chart" uri="{C3380CC4-5D6E-409C-BE32-E72D297353CC}">
              <c16:uniqueId val="{00000000-5354-4D4F-87D0-00FC7162125F}"/>
            </c:ext>
          </c:extLst>
        </c:ser>
        <c:ser>
          <c:idx val="1"/>
          <c:order val="1"/>
          <c:tx>
            <c:strRef>
              <c:f>'26.02.10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'26.02.10 보고자료 (수정중)'!$P$22:$R$22</c:f>
              <c:numCache>
                <c:formatCode>m"/"d;@</c:formatCode>
                <c:ptCount val="3"/>
                <c:pt idx="0">
                  <c:v>46048</c:v>
                </c:pt>
                <c:pt idx="1">
                  <c:v>46055</c:v>
                </c:pt>
                <c:pt idx="2">
                  <c:v>46062</c:v>
                </c:pt>
              </c:numCache>
            </c:numRef>
          </c:cat>
          <c:val>
            <c:numRef>
              <c:f>'26.02.10 보고자료 (수정중)'!$P$24:$R$24</c:f>
              <c:numCache>
                <c:formatCode>General</c:formatCode>
                <c:ptCount val="3"/>
                <c:pt idx="0">
                  <c:v>455</c:v>
                </c:pt>
                <c:pt idx="1">
                  <c:v>465</c:v>
                </c:pt>
                <c:pt idx="2">
                  <c:v>475</c:v>
                </c:pt>
              </c:numCache>
            </c:numRef>
          </c:val>
          <c:smooth val="0"/>
          <c:extLst>
            <c:ext xmlns:c16="http://schemas.microsoft.com/office/drawing/2014/chart" uri="{C3380CC4-5D6E-409C-BE32-E72D297353CC}">
              <c16:uniqueId val="{00000001-5354-4D4F-87D0-00FC7162125F}"/>
            </c:ext>
          </c:extLst>
        </c:ser>
        <c:ser>
          <c:idx val="2"/>
          <c:order val="2"/>
          <c:tx>
            <c:strRef>
              <c:f>'26.02.10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'26.02.10 보고자료 (수정중)'!$P$22:$R$22</c:f>
              <c:numCache>
                <c:formatCode>m"/"d;@</c:formatCode>
                <c:ptCount val="3"/>
                <c:pt idx="0">
                  <c:v>46048</c:v>
                </c:pt>
                <c:pt idx="1">
                  <c:v>46055</c:v>
                </c:pt>
                <c:pt idx="2">
                  <c:v>46062</c:v>
                </c:pt>
              </c:numCache>
            </c:numRef>
          </c:cat>
          <c:val>
            <c:numRef>
              <c:f>'26.02.10 보고자료 (수정중)'!$P$25:$R$25</c:f>
              <c:numCache>
                <c:formatCode>General</c:formatCode>
                <c:ptCount val="3"/>
                <c:pt idx="0">
                  <c:v>535</c:v>
                </c:pt>
                <c:pt idx="1">
                  <c:v>551</c:v>
                </c:pt>
                <c:pt idx="2">
                  <c:v>563</c:v>
                </c:pt>
              </c:numCache>
            </c:numRef>
          </c:val>
          <c:smooth val="0"/>
          <c:extLst>
            <c:ext xmlns:c16="http://schemas.microsoft.com/office/drawing/2014/chart" uri="{C3380CC4-5D6E-409C-BE32-E72D297353CC}">
              <c16:uniqueId val="{00000002-5354-4D4F-87D0-00FC7162125F}"/>
            </c:ext>
          </c:extLst>
        </c:ser>
        <c:ser>
          <c:idx val="3"/>
          <c:order val="3"/>
          <c:tx>
            <c:strRef>
              <c:f>'26.02.10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'26.02.10 보고자료 (수정중)'!$P$22:$R$22</c:f>
              <c:numCache>
                <c:formatCode>m"/"d;@</c:formatCode>
                <c:ptCount val="3"/>
                <c:pt idx="0">
                  <c:v>46048</c:v>
                </c:pt>
                <c:pt idx="1">
                  <c:v>46055</c:v>
                </c:pt>
                <c:pt idx="2">
                  <c:v>46062</c:v>
                </c:pt>
              </c:numCache>
            </c:numRef>
          </c:cat>
          <c:val>
            <c:numRef>
              <c:f>'26.02.10 보고자료 (수정중)'!$P$26:$R$26</c:f>
              <c:numCache>
                <c:formatCode>General</c:formatCode>
                <c:ptCount val="3"/>
                <c:pt idx="0">
                  <c:v>465</c:v>
                </c:pt>
                <c:pt idx="1">
                  <c:v>480</c:v>
                </c:pt>
                <c:pt idx="2">
                  <c:v>498</c:v>
                </c:pt>
              </c:numCache>
            </c:numRef>
          </c:val>
          <c:smooth val="0"/>
          <c:extLst>
            <c:ext xmlns:c16="http://schemas.microsoft.com/office/drawing/2014/chart" uri="{C3380CC4-5D6E-409C-BE32-E72D297353CC}">
              <c16:uniqueId val="{00000003-5354-4D4F-87D0-00FC7162125F}"/>
            </c:ext>
          </c:extLst>
        </c:ser>
        <c:ser>
          <c:idx val="4"/>
          <c:order val="4"/>
          <c:tx>
            <c:strRef>
              <c:f>'26.02.10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'26.02.10 보고자료 (수정중)'!$P$22:$R$22</c:f>
              <c:numCache>
                <c:formatCode>m"/"d;@</c:formatCode>
                <c:ptCount val="3"/>
                <c:pt idx="0">
                  <c:v>46048</c:v>
                </c:pt>
                <c:pt idx="1">
                  <c:v>46055</c:v>
                </c:pt>
                <c:pt idx="2">
                  <c:v>46062</c:v>
                </c:pt>
              </c:numCache>
            </c:numRef>
          </c:cat>
          <c:val>
            <c:numRef>
              <c:f>'26.02.10 보고자료 (수정중)'!$P$27:$R$27</c:f>
              <c:numCache>
                <c:formatCode>General</c:formatCode>
                <c:ptCount val="3"/>
              </c:numCache>
            </c:numRef>
          </c:val>
          <c:smooth val="0"/>
          <c:extLst>
            <c:ext xmlns:c16="http://schemas.microsoft.com/office/drawing/2014/chart" uri="{C3380CC4-5D6E-409C-BE32-E72D297353CC}">
              <c16:uniqueId val="{00000004-5354-4D4F-87D0-00FC7162125F}"/>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9.1556876250388095E-2"/>
          <c:y val="1.3485478921430528E-2"/>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Avg.KR</c:v>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1"/>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pt idx="16">
                <c:v>2026년 1월 26 Jan</c:v>
              </c:pt>
              <c:pt idx="17">
                <c:v>2026년 1월 27 Jan</c:v>
              </c:pt>
              <c:pt idx="18">
                <c:v>2026년 1월 28 Jan</c:v>
              </c:pt>
              <c:pt idx="19">
                <c:v>2026년 1월 29 Jan</c:v>
              </c:pt>
              <c:pt idx="20">
                <c:v>2026년 1월 30 Jan</c:v>
              </c:pt>
            </c:strLit>
          </c:cat>
          <c:val>
            <c:numLit>
              <c:formatCode>General</c:formatCode>
              <c:ptCount val="21"/>
              <c:pt idx="0">
                <c:v>26.220000000000027</c:v>
              </c:pt>
              <c:pt idx="1">
                <c:v>43.889999999999986</c:v>
              </c:pt>
              <c:pt idx="2">
                <c:v>24.060000000000002</c:v>
              </c:pt>
              <c:pt idx="3">
                <c:v>40.620000000000005</c:v>
              </c:pt>
              <c:pt idx="4">
                <c:v>53.329999999999984</c:v>
              </c:pt>
              <c:pt idx="5">
                <c:v>43.509999999999991</c:v>
              </c:pt>
              <c:pt idx="6">
                <c:v>40.629999999999995</c:v>
              </c:pt>
              <c:pt idx="7">
                <c:v>58.94</c:v>
              </c:pt>
              <c:pt idx="8">
                <c:v>68.20999999999998</c:v>
              </c:pt>
              <c:pt idx="9">
                <c:v>62.879999999999995</c:v>
              </c:pt>
              <c:pt idx="10">
                <c:v>59.339999999999975</c:v>
              </c:pt>
              <c:pt idx="11">
                <c:v>73.430000000000007</c:v>
              </c:pt>
              <c:pt idx="12">
                <c:v>77.75</c:v>
              </c:pt>
              <c:pt idx="13">
                <c:v>76.819999999999993</c:v>
              </c:pt>
              <c:pt idx="14">
                <c:v>81.779999999999973</c:v>
              </c:pt>
              <c:pt idx="15">
                <c:v>76.12</c:v>
              </c:pt>
              <c:pt idx="16">
                <c:v>73.649999999999977</c:v>
              </c:pt>
              <c:pt idx="17">
                <c:v>60.839999999999975</c:v>
              </c:pt>
              <c:pt idx="18">
                <c:v>52.389999999999986</c:v>
              </c:pt>
              <c:pt idx="19">
                <c:v>53.300000000000011</c:v>
              </c:pt>
              <c:pt idx="20">
                <c:v>38.45999999999998</c:v>
              </c:pt>
            </c:numLit>
          </c:val>
          <c:smooth val="0"/>
          <c:extLst>
            <c:ext xmlns:c16="http://schemas.microsoft.com/office/drawing/2014/chart" uri="{C3380CC4-5D6E-409C-BE32-E72D297353CC}">
              <c16:uniqueId val="{00000000-F75D-4A90-AA56-B8E68914A995}"/>
            </c:ext>
          </c:extLst>
        </c:ser>
        <c:ser>
          <c:idx val="1"/>
          <c:order val="1"/>
          <c:tx>
            <c:v>Avg.SP</c:v>
          </c:tx>
          <c:spPr>
            <a:ln w="9525" cap="rnd">
              <a:solidFill>
                <a:schemeClr val="accent6">
                  <a:lumMod val="75000"/>
                </a:schemeClr>
              </a:solidFill>
              <a:round/>
            </a:ln>
            <a:effectLst/>
          </c:spPr>
          <c:marker>
            <c:symbol val="none"/>
          </c:marker>
          <c:cat>
            <c:strLit>
              <c:ptCount val="21"/>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pt idx="16">
                <c:v>2026년 1월 26 Jan</c:v>
              </c:pt>
              <c:pt idx="17">
                <c:v>2026년 1월 27 Jan</c:v>
              </c:pt>
              <c:pt idx="18">
                <c:v>2026년 1월 28 Jan</c:v>
              </c:pt>
              <c:pt idx="19">
                <c:v>2026년 1월 29 Jan</c:v>
              </c:pt>
              <c:pt idx="20">
                <c:v>2026년 1월 30 Jan</c:v>
              </c:pt>
            </c:strLit>
          </c:cat>
          <c:val>
            <c:numLit>
              <c:formatCode>General</c:formatCode>
              <c:ptCount val="21"/>
              <c:pt idx="0">
                <c:v>14.220000000000027</c:v>
              </c:pt>
              <c:pt idx="1">
                <c:v>11.639999999999986</c:v>
              </c:pt>
              <c:pt idx="2">
                <c:v>12.060000000000002</c:v>
              </c:pt>
              <c:pt idx="3">
                <c:v>13.120000000000005</c:v>
              </c:pt>
              <c:pt idx="4">
                <c:v>13.079999999999984</c:v>
              </c:pt>
              <c:pt idx="5">
                <c:v>13.509999999999991</c:v>
              </c:pt>
              <c:pt idx="6">
                <c:v>12.629999999999995</c:v>
              </c:pt>
              <c:pt idx="7">
                <c:v>13.439999999999998</c:v>
              </c:pt>
              <c:pt idx="8">
                <c:v>13.70999999999998</c:v>
              </c:pt>
              <c:pt idx="9">
                <c:v>13.879999999999995</c:v>
              </c:pt>
              <c:pt idx="10">
                <c:v>14.339999999999975</c:v>
              </c:pt>
              <c:pt idx="11">
                <c:v>15.180000000000007</c:v>
              </c:pt>
              <c:pt idx="12">
                <c:v>15</c:v>
              </c:pt>
              <c:pt idx="13">
                <c:v>15.319999999999993</c:v>
              </c:pt>
              <c:pt idx="14">
                <c:v>17.029999999999973</c:v>
              </c:pt>
              <c:pt idx="15">
                <c:v>19.870000000000005</c:v>
              </c:pt>
              <c:pt idx="16">
                <c:v>20.649999999999977</c:v>
              </c:pt>
              <c:pt idx="17">
                <c:v>25.339999999999975</c:v>
              </c:pt>
              <c:pt idx="18">
                <c:v>25.889999999999986</c:v>
              </c:pt>
              <c:pt idx="19">
                <c:v>25.550000000000011</c:v>
              </c:pt>
              <c:pt idx="20">
                <c:v>26.95999999999998</c:v>
              </c:pt>
            </c:numLit>
          </c:val>
          <c:smooth val="0"/>
          <c:extLst>
            <c:ext xmlns:c16="http://schemas.microsoft.com/office/drawing/2014/chart" uri="{C3380CC4-5D6E-409C-BE32-E72D297353CC}">
              <c16:uniqueId val="{00000001-F75D-4A90-AA56-B8E68914A995}"/>
            </c:ext>
          </c:extLst>
        </c:ser>
        <c:ser>
          <c:idx val="2"/>
          <c:order val="2"/>
          <c:tx>
            <c:v>Avg.ZS</c:v>
          </c:tx>
          <c:spPr>
            <a:ln w="9525" cap="rnd">
              <a:solidFill>
                <a:schemeClr val="accent1">
                  <a:lumMod val="75000"/>
                </a:schemeClr>
              </a:solidFill>
              <a:round/>
            </a:ln>
            <a:effectLst/>
          </c:spPr>
          <c:marker>
            <c:symbol val="none"/>
          </c:marker>
          <c:cat>
            <c:strLit>
              <c:ptCount val="21"/>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pt idx="16">
                <c:v>2026년 1월 26 Jan</c:v>
              </c:pt>
              <c:pt idx="17">
                <c:v>2026년 1월 27 Jan</c:v>
              </c:pt>
              <c:pt idx="18">
                <c:v>2026년 1월 28 Jan</c:v>
              </c:pt>
              <c:pt idx="19">
                <c:v>2026년 1월 29 Jan</c:v>
              </c:pt>
              <c:pt idx="20">
                <c:v>2026년 1월 30 Jan</c:v>
              </c:pt>
            </c:strLit>
          </c:cat>
          <c:val>
            <c:numLit>
              <c:formatCode>General</c:formatCode>
              <c:ptCount val="21"/>
              <c:pt idx="0">
                <c:v>41.220000000000027</c:v>
              </c:pt>
              <c:pt idx="1">
                <c:v>36.639999999999986</c:v>
              </c:pt>
              <c:pt idx="2">
                <c:v>37.06</c:v>
              </c:pt>
              <c:pt idx="3">
                <c:v>35.120000000000005</c:v>
              </c:pt>
              <c:pt idx="4">
                <c:v>38.079999999999984</c:v>
              </c:pt>
              <c:pt idx="5">
                <c:v>35.509999999999991</c:v>
              </c:pt>
              <c:pt idx="6">
                <c:v>32.629999999999995</c:v>
              </c:pt>
              <c:pt idx="7">
                <c:v>28.439999999999998</c:v>
              </c:pt>
              <c:pt idx="8">
                <c:v>25.70999999999998</c:v>
              </c:pt>
              <c:pt idx="9">
                <c:v>26.879999999999995</c:v>
              </c:pt>
              <c:pt idx="10">
                <c:v>28.339999999999975</c:v>
              </c:pt>
              <c:pt idx="11">
                <c:v>27.180000000000007</c:v>
              </c:pt>
              <c:pt idx="12">
                <c:v>28</c:v>
              </c:pt>
              <c:pt idx="13">
                <c:v>29.319999999999993</c:v>
              </c:pt>
              <c:pt idx="14">
                <c:v>30.029999999999973</c:v>
              </c:pt>
              <c:pt idx="15">
                <c:v>29.870000000000005</c:v>
              </c:pt>
              <c:pt idx="16">
                <c:v>29.649999999999977</c:v>
              </c:pt>
              <c:pt idx="17">
                <c:v>29.339999999999975</c:v>
              </c:pt>
              <c:pt idx="18">
                <c:v>30.889999999999986</c:v>
              </c:pt>
              <c:pt idx="19">
                <c:v>33.550000000000011</c:v>
              </c:pt>
              <c:pt idx="20">
                <c:v>33.95999999999998</c:v>
              </c:pt>
            </c:numLit>
          </c:val>
          <c:smooth val="0"/>
          <c:extLst>
            <c:ext xmlns:c16="http://schemas.microsoft.com/office/drawing/2014/chart" uri="{C3380CC4-5D6E-409C-BE32-E72D297353CC}">
              <c16:uniqueId val="{00000002-F75D-4A90-AA56-B8E68914A995}"/>
            </c:ext>
          </c:extLst>
        </c:ser>
        <c:ser>
          <c:idx val="3"/>
          <c:order val="3"/>
          <c:tx>
            <c:v>Avg.KR '25 25%</c:v>
          </c:tx>
          <c:spPr>
            <a:ln w="12700" cap="rnd">
              <a:solidFill>
                <a:srgbClr val="C00000"/>
              </a:solidFill>
              <a:prstDash val="dash"/>
              <a:round/>
            </a:ln>
            <a:effectLst/>
          </c:spPr>
          <c:marker>
            <c:symbol val="none"/>
          </c:marker>
          <c:cat>
            <c:strLit>
              <c:ptCount val="21"/>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pt idx="16">
                <c:v>2026년 1월 26 Jan</c:v>
              </c:pt>
              <c:pt idx="17">
                <c:v>2026년 1월 27 Jan</c:v>
              </c:pt>
              <c:pt idx="18">
                <c:v>2026년 1월 28 Jan</c:v>
              </c:pt>
              <c:pt idx="19">
                <c:v>2026년 1월 29 Jan</c:v>
              </c:pt>
              <c:pt idx="20">
                <c:v>2026년 1월 30 Jan</c:v>
              </c:pt>
            </c:strLit>
          </c:cat>
          <c:val>
            <c:numLit>
              <c:formatCode>General</c:formatCode>
              <c:ptCount val="21"/>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pt idx="15">
                <c:v>23.747500000000002</c:v>
              </c:pt>
              <c:pt idx="16">
                <c:v>23.747500000000002</c:v>
              </c:pt>
              <c:pt idx="17">
                <c:v>23.747500000000002</c:v>
              </c:pt>
              <c:pt idx="18">
                <c:v>23.747500000000002</c:v>
              </c:pt>
              <c:pt idx="19">
                <c:v>23.747500000000002</c:v>
              </c:pt>
              <c:pt idx="20">
                <c:v>23.747500000000002</c:v>
              </c:pt>
            </c:numLit>
          </c:val>
          <c:smooth val="0"/>
          <c:extLst>
            <c:ext xmlns:c16="http://schemas.microsoft.com/office/drawing/2014/chart" uri="{C3380CC4-5D6E-409C-BE32-E72D297353CC}">
              <c16:uniqueId val="{00000003-F75D-4A90-AA56-B8E68914A995}"/>
            </c:ext>
          </c:extLst>
        </c:ser>
        <c:ser>
          <c:idx val="4"/>
          <c:order val="4"/>
          <c:tx>
            <c:v>Avg.KR '25 75%</c:v>
          </c:tx>
          <c:spPr>
            <a:ln w="12700" cap="rnd">
              <a:solidFill>
                <a:srgbClr val="C00000"/>
              </a:solidFill>
              <a:prstDash val="dash"/>
              <a:round/>
            </a:ln>
            <a:effectLst/>
          </c:spPr>
          <c:marker>
            <c:symbol val="none"/>
          </c:marker>
          <c:cat>
            <c:strLit>
              <c:ptCount val="21"/>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pt idx="16">
                <c:v>2026년 1월 26 Jan</c:v>
              </c:pt>
              <c:pt idx="17">
                <c:v>2026년 1월 27 Jan</c:v>
              </c:pt>
              <c:pt idx="18">
                <c:v>2026년 1월 28 Jan</c:v>
              </c:pt>
              <c:pt idx="19">
                <c:v>2026년 1월 29 Jan</c:v>
              </c:pt>
              <c:pt idx="20">
                <c:v>2026년 1월 30 Jan</c:v>
              </c:pt>
            </c:strLit>
          </c:cat>
          <c:val>
            <c:numLit>
              <c:formatCode>General</c:formatCode>
              <c:ptCount val="21"/>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pt idx="15">
                <c:v>51.122500000000002</c:v>
              </c:pt>
              <c:pt idx="16">
                <c:v>51.122500000000002</c:v>
              </c:pt>
              <c:pt idx="17">
                <c:v>51.122500000000002</c:v>
              </c:pt>
              <c:pt idx="18">
                <c:v>51.122500000000002</c:v>
              </c:pt>
              <c:pt idx="19">
                <c:v>51.122500000000002</c:v>
              </c:pt>
              <c:pt idx="20">
                <c:v>51.122500000000002</c:v>
              </c:pt>
            </c:numLit>
          </c:val>
          <c:smooth val="0"/>
          <c:extLst>
            <c:ext xmlns:c16="http://schemas.microsoft.com/office/drawing/2014/chart" uri="{C3380CC4-5D6E-409C-BE32-E72D297353CC}">
              <c16:uniqueId val="{00000004-F75D-4A90-AA56-B8E68914A995}"/>
            </c:ext>
          </c:extLst>
        </c:ser>
        <c:ser>
          <c:idx val="5"/>
          <c:order val="5"/>
          <c:tx>
            <c:v>Avg.SP '25 25%</c:v>
          </c:tx>
          <c:spPr>
            <a:ln w="9525" cap="rnd">
              <a:solidFill>
                <a:schemeClr val="accent6">
                  <a:lumMod val="75000"/>
                </a:schemeClr>
              </a:solidFill>
              <a:prstDash val="sysDash"/>
              <a:round/>
            </a:ln>
            <a:effectLst/>
          </c:spPr>
          <c:marker>
            <c:symbol val="none"/>
          </c:marker>
          <c:cat>
            <c:strLit>
              <c:ptCount val="21"/>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pt idx="16">
                <c:v>2026년 1월 26 Jan</c:v>
              </c:pt>
              <c:pt idx="17">
                <c:v>2026년 1월 27 Jan</c:v>
              </c:pt>
              <c:pt idx="18">
                <c:v>2026년 1월 28 Jan</c:v>
              </c:pt>
              <c:pt idx="19">
                <c:v>2026년 1월 29 Jan</c:v>
              </c:pt>
              <c:pt idx="20">
                <c:v>2026년 1월 30 Jan</c:v>
              </c:pt>
            </c:strLit>
          </c:cat>
          <c:val>
            <c:numLit>
              <c:formatCode>General</c:formatCode>
              <c:ptCount val="21"/>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pt idx="15">
                <c:v>10.920000000000016</c:v>
              </c:pt>
              <c:pt idx="16">
                <c:v>10.920000000000016</c:v>
              </c:pt>
              <c:pt idx="17">
                <c:v>10.920000000000016</c:v>
              </c:pt>
              <c:pt idx="18">
                <c:v>10.920000000000016</c:v>
              </c:pt>
              <c:pt idx="19">
                <c:v>10.920000000000016</c:v>
              </c:pt>
              <c:pt idx="20">
                <c:v>10.920000000000016</c:v>
              </c:pt>
            </c:numLit>
          </c:val>
          <c:smooth val="0"/>
          <c:extLst>
            <c:ext xmlns:c16="http://schemas.microsoft.com/office/drawing/2014/chart" uri="{C3380CC4-5D6E-409C-BE32-E72D297353CC}">
              <c16:uniqueId val="{00000005-F75D-4A90-AA56-B8E68914A995}"/>
            </c:ext>
          </c:extLst>
        </c:ser>
        <c:ser>
          <c:idx val="6"/>
          <c:order val="6"/>
          <c:tx>
            <c:v>Avg.SP '25 75%</c:v>
          </c:tx>
          <c:spPr>
            <a:ln w="9525" cap="rnd">
              <a:solidFill>
                <a:schemeClr val="accent6">
                  <a:lumMod val="75000"/>
                </a:schemeClr>
              </a:solidFill>
              <a:prstDash val="sysDash"/>
              <a:round/>
            </a:ln>
            <a:effectLst/>
          </c:spPr>
          <c:marker>
            <c:symbol val="none"/>
          </c:marker>
          <c:cat>
            <c:strLit>
              <c:ptCount val="21"/>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pt idx="16">
                <c:v>2026년 1월 26 Jan</c:v>
              </c:pt>
              <c:pt idx="17">
                <c:v>2026년 1월 27 Jan</c:v>
              </c:pt>
              <c:pt idx="18">
                <c:v>2026년 1월 28 Jan</c:v>
              </c:pt>
              <c:pt idx="19">
                <c:v>2026년 1월 29 Jan</c:v>
              </c:pt>
              <c:pt idx="20">
                <c:v>2026년 1월 30 Jan</c:v>
              </c:pt>
            </c:strLit>
          </c:cat>
          <c:val>
            <c:numLit>
              <c:formatCode>General</c:formatCode>
              <c:ptCount val="21"/>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pt idx="15">
                <c:v>13.480000000000018</c:v>
              </c:pt>
              <c:pt idx="16">
                <c:v>13.480000000000018</c:v>
              </c:pt>
              <c:pt idx="17">
                <c:v>13.480000000000018</c:v>
              </c:pt>
              <c:pt idx="18">
                <c:v>13.480000000000018</c:v>
              </c:pt>
              <c:pt idx="19">
                <c:v>13.480000000000018</c:v>
              </c:pt>
              <c:pt idx="20">
                <c:v>13.480000000000018</c:v>
              </c:pt>
            </c:numLit>
          </c:val>
          <c:smooth val="0"/>
          <c:extLst>
            <c:ext xmlns:c16="http://schemas.microsoft.com/office/drawing/2014/chart" uri="{C3380CC4-5D6E-409C-BE32-E72D297353CC}">
              <c16:uniqueId val="{00000006-F75D-4A90-AA56-B8E68914A995}"/>
            </c:ext>
          </c:extLst>
        </c:ser>
        <c:ser>
          <c:idx val="7"/>
          <c:order val="7"/>
          <c:tx>
            <c:v>Avg. JP Spread</c:v>
          </c:tx>
          <c:spPr>
            <a:ln w="12700" cap="rnd">
              <a:solidFill>
                <a:schemeClr val="tx1">
                  <a:lumMod val="75000"/>
                  <a:lumOff val="25000"/>
                </a:schemeClr>
              </a:solidFill>
              <a:round/>
            </a:ln>
            <a:effectLst/>
          </c:spPr>
          <c:marker>
            <c:symbol val="none"/>
          </c:marker>
          <c:cat>
            <c:strLit>
              <c:ptCount val="21"/>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pt idx="16">
                <c:v>2026년 1월 26 Jan</c:v>
              </c:pt>
              <c:pt idx="17">
                <c:v>2026년 1월 27 Jan</c:v>
              </c:pt>
              <c:pt idx="18">
                <c:v>2026년 1월 28 Jan</c:v>
              </c:pt>
              <c:pt idx="19">
                <c:v>2026년 1월 29 Jan</c:v>
              </c:pt>
              <c:pt idx="20">
                <c:v>2026년 1월 30 Jan</c:v>
              </c:pt>
            </c:strLit>
          </c:cat>
          <c:val>
            <c:numLit>
              <c:formatCode>General</c:formatCode>
              <c:ptCount val="21"/>
              <c:pt idx="0">
                <c:v>73.220000000000027</c:v>
              </c:pt>
              <c:pt idx="1">
                <c:v>72.639999999999986</c:v>
              </c:pt>
              <c:pt idx="2">
                <c:v>72.06</c:v>
              </c:pt>
              <c:pt idx="3">
                <c:v>71.12</c:v>
              </c:pt>
              <c:pt idx="4">
                <c:v>70.079999999999984</c:v>
              </c:pt>
              <c:pt idx="5">
                <c:v>68.509999999999991</c:v>
              </c:pt>
              <c:pt idx="6">
                <c:v>68.63</c:v>
              </c:pt>
              <c:pt idx="7">
                <c:v>63.44</c:v>
              </c:pt>
              <c:pt idx="8">
                <c:v>59.70999999999998</c:v>
              </c:pt>
              <c:pt idx="9">
                <c:v>58.879999999999995</c:v>
              </c:pt>
              <c:pt idx="10">
                <c:v>59.339999999999975</c:v>
              </c:pt>
              <c:pt idx="11">
                <c:v>58.180000000000007</c:v>
              </c:pt>
              <c:pt idx="12">
                <c:v>59</c:v>
              </c:pt>
              <c:pt idx="13">
                <c:v>57.319999999999993</c:v>
              </c:pt>
              <c:pt idx="14">
                <c:v>57.029999999999973</c:v>
              </c:pt>
              <c:pt idx="15">
                <c:v>56.870000000000005</c:v>
              </c:pt>
              <c:pt idx="16">
                <c:v>53.649999999999977</c:v>
              </c:pt>
              <c:pt idx="17">
                <c:v>53.339999999999975</c:v>
              </c:pt>
              <c:pt idx="18">
                <c:v>49.889999999999986</c:v>
              </c:pt>
              <c:pt idx="19">
                <c:v>47.550000000000011</c:v>
              </c:pt>
              <c:pt idx="20">
                <c:v>50.95999999999998</c:v>
              </c:pt>
            </c:numLit>
          </c:val>
          <c:smooth val="0"/>
          <c:extLst>
            <c:ext xmlns:c16="http://schemas.microsoft.com/office/drawing/2014/chart" uri="{C3380CC4-5D6E-409C-BE32-E72D297353CC}">
              <c16:uniqueId val="{00000007-F75D-4A90-AA56-B8E68914A995}"/>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ayout>
        <c:manualLayout>
          <c:xMode val="edge"/>
          <c:yMode val="edge"/>
          <c:x val="6.1579938177293556E-2"/>
          <c:y val="2.0477556719391075E-2"/>
          <c:w val="0.89999998860242869"/>
          <c:h val="7.069945924168641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13774169548642E-2"/>
          <c:y val="4.3496528797654872E-2"/>
          <c:w val="0.91389960484055754"/>
          <c:h val="0.81987901436360544"/>
        </c:manualLayout>
      </c:layout>
      <c:lineChart>
        <c:grouping val="standard"/>
        <c:varyColors val="0"/>
        <c:ser>
          <c:idx val="0"/>
          <c:order val="0"/>
          <c:tx>
            <c:strRef>
              <c:f>'26.02.03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'26.02.03 보고자료 (수정중)'!$C$22:$F$22</c:f>
              <c:strCache>
                <c:ptCount val="4"/>
                <c:pt idx="0">
                  <c:v>1/19</c:v>
                </c:pt>
                <c:pt idx="1">
                  <c:v>1/26</c:v>
                </c:pt>
                <c:pt idx="2">
                  <c:v>2/2</c:v>
                </c:pt>
                <c:pt idx="3">
                  <c:v>This week assumption (FEB)</c:v>
                </c:pt>
              </c:strCache>
            </c:strRef>
          </c:cat>
          <c:val>
            <c:numRef>
              <c:f>'26.02.03 보고자료 (수정중)'!$C$23:$F$23</c:f>
              <c:numCache>
                <c:formatCode>General</c:formatCode>
                <c:ptCount val="4"/>
                <c:pt idx="0">
                  <c:v>70</c:v>
                </c:pt>
                <c:pt idx="1">
                  <c:v>40</c:v>
                </c:pt>
                <c:pt idx="2">
                  <c:v>18</c:v>
                </c:pt>
              </c:numCache>
            </c:numRef>
          </c:val>
          <c:smooth val="0"/>
          <c:extLst>
            <c:ext xmlns:c16="http://schemas.microsoft.com/office/drawing/2014/chart" uri="{C3380CC4-5D6E-409C-BE32-E72D297353CC}">
              <c16:uniqueId val="{00000000-376A-45A0-A9BA-0923F86DB9BF}"/>
            </c:ext>
          </c:extLst>
        </c:ser>
        <c:ser>
          <c:idx val="1"/>
          <c:order val="1"/>
          <c:tx>
            <c:strRef>
              <c:f>'26.02.03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'26.02.03 보고자료 (수정중)'!$C$22:$F$22</c:f>
              <c:strCache>
                <c:ptCount val="4"/>
                <c:pt idx="0">
                  <c:v>1/19</c:v>
                </c:pt>
                <c:pt idx="1">
                  <c:v>1/26</c:v>
                </c:pt>
                <c:pt idx="2">
                  <c:v>2/2</c:v>
                </c:pt>
                <c:pt idx="3">
                  <c:v>This week assumption (FEB)</c:v>
                </c:pt>
              </c:strCache>
            </c:strRef>
          </c:cat>
          <c:val>
            <c:numRef>
              <c:f>'26.02.03 보고자료 (수정중)'!$C$24:$F$24</c:f>
              <c:numCache>
                <c:formatCode>General</c:formatCode>
                <c:ptCount val="4"/>
                <c:pt idx="0">
                  <c:v>65</c:v>
                </c:pt>
                <c:pt idx="1">
                  <c:v>35</c:v>
                </c:pt>
                <c:pt idx="2">
                  <c:v>17</c:v>
                </c:pt>
              </c:numCache>
            </c:numRef>
          </c:val>
          <c:smooth val="0"/>
          <c:extLst>
            <c:ext xmlns:c16="http://schemas.microsoft.com/office/drawing/2014/chart" uri="{C3380CC4-5D6E-409C-BE32-E72D297353CC}">
              <c16:uniqueId val="{00000001-376A-45A0-A9BA-0923F86DB9BF}"/>
            </c:ext>
          </c:extLst>
        </c:ser>
        <c:ser>
          <c:idx val="2"/>
          <c:order val="2"/>
          <c:tx>
            <c:strRef>
              <c:f>'26.02.03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'26.02.03 보고자료 (수정중)'!$C$22:$F$22</c:f>
              <c:strCache>
                <c:ptCount val="4"/>
                <c:pt idx="0">
                  <c:v>1/19</c:v>
                </c:pt>
                <c:pt idx="1">
                  <c:v>1/26</c:v>
                </c:pt>
                <c:pt idx="2">
                  <c:v>2/2</c:v>
                </c:pt>
                <c:pt idx="3">
                  <c:v>This week assumption (FEB)</c:v>
                </c:pt>
              </c:strCache>
            </c:strRef>
          </c:cat>
          <c:val>
            <c:numRef>
              <c:f>'26.02.03 보고자료 (수정중)'!$C$25:$F$25</c:f>
              <c:numCache>
                <c:formatCode>General</c:formatCode>
                <c:ptCount val="4"/>
                <c:pt idx="0">
                  <c:v>75</c:v>
                </c:pt>
                <c:pt idx="1">
                  <c:v>45</c:v>
                </c:pt>
                <c:pt idx="2">
                  <c:v>17</c:v>
                </c:pt>
              </c:numCache>
            </c:numRef>
          </c:val>
          <c:smooth val="0"/>
          <c:extLst>
            <c:ext xmlns:c16="http://schemas.microsoft.com/office/drawing/2014/chart" uri="{C3380CC4-5D6E-409C-BE32-E72D297353CC}">
              <c16:uniqueId val="{00000002-376A-45A0-A9BA-0923F86DB9BF}"/>
            </c:ext>
          </c:extLst>
        </c:ser>
        <c:ser>
          <c:idx val="3"/>
          <c:order val="3"/>
          <c:tx>
            <c:strRef>
              <c:f>'26.02.03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'26.02.03 보고자료 (수정중)'!$C$22:$F$22</c:f>
              <c:strCache>
                <c:ptCount val="4"/>
                <c:pt idx="0">
                  <c:v>1/19</c:v>
                </c:pt>
                <c:pt idx="1">
                  <c:v>1/26</c:v>
                </c:pt>
                <c:pt idx="2">
                  <c:v>2/2</c:v>
                </c:pt>
                <c:pt idx="3">
                  <c:v>This week assumption (FEB)</c:v>
                </c:pt>
              </c:strCache>
            </c:strRef>
          </c:cat>
          <c:val>
            <c:numRef>
              <c:f>'26.02.03 보고자료 (수정중)'!$C$26:$F$26</c:f>
              <c:numCache>
                <c:formatCode>General</c:formatCode>
                <c:ptCount val="4"/>
                <c:pt idx="0">
                  <c:v>85</c:v>
                </c:pt>
                <c:pt idx="1">
                  <c:v>60</c:v>
                </c:pt>
                <c:pt idx="2">
                  <c:v>40</c:v>
                </c:pt>
              </c:numCache>
            </c:numRef>
          </c:val>
          <c:smooth val="0"/>
          <c:extLst>
            <c:ext xmlns:c16="http://schemas.microsoft.com/office/drawing/2014/chart" uri="{C3380CC4-5D6E-409C-BE32-E72D297353CC}">
              <c16:uniqueId val="{00000003-376A-45A0-A9BA-0923F86DB9BF}"/>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'26.02.03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'26.02.03 보고자료 (수정중)'!$P$22:$R$22</c:f>
              <c:numCache>
                <c:formatCode>m"/"d;@</c:formatCode>
                <c:ptCount val="3"/>
                <c:pt idx="0">
                  <c:v>46041</c:v>
                </c:pt>
                <c:pt idx="1">
                  <c:v>46048</c:v>
                </c:pt>
                <c:pt idx="2">
                  <c:v>46051</c:v>
                </c:pt>
              </c:numCache>
            </c:numRef>
          </c:cat>
          <c:val>
            <c:numRef>
              <c:f>'26.02.03 보고자료 (수정중)'!$P$23:$R$23</c:f>
              <c:numCache>
                <c:formatCode>General</c:formatCode>
                <c:ptCount val="3"/>
                <c:pt idx="0">
                  <c:v>505</c:v>
                </c:pt>
                <c:pt idx="1">
                  <c:v>511</c:v>
                </c:pt>
                <c:pt idx="2">
                  <c:v>492</c:v>
                </c:pt>
              </c:numCache>
            </c:numRef>
          </c:val>
          <c:smooth val="0"/>
          <c:extLst>
            <c:ext xmlns:c16="http://schemas.microsoft.com/office/drawing/2014/chart" uri="{C3380CC4-5D6E-409C-BE32-E72D297353CC}">
              <c16:uniqueId val="{00000000-8922-40F1-B47F-8B4637336C24}"/>
            </c:ext>
          </c:extLst>
        </c:ser>
        <c:ser>
          <c:idx val="1"/>
          <c:order val="1"/>
          <c:tx>
            <c:strRef>
              <c:f>'26.02.03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'26.02.03 보고자료 (수정중)'!$P$22:$R$22</c:f>
              <c:numCache>
                <c:formatCode>m"/"d;@</c:formatCode>
                <c:ptCount val="3"/>
                <c:pt idx="0">
                  <c:v>46041</c:v>
                </c:pt>
                <c:pt idx="1">
                  <c:v>46048</c:v>
                </c:pt>
                <c:pt idx="2">
                  <c:v>46051</c:v>
                </c:pt>
              </c:numCache>
            </c:numRef>
          </c:cat>
          <c:val>
            <c:numRef>
              <c:f>'26.02.03 보고자료 (수정중)'!$P$24:$R$24</c:f>
              <c:numCache>
                <c:formatCode>General</c:formatCode>
                <c:ptCount val="3"/>
                <c:pt idx="0">
                  <c:v>445</c:v>
                </c:pt>
                <c:pt idx="1">
                  <c:v>455</c:v>
                </c:pt>
                <c:pt idx="2">
                  <c:v>495</c:v>
                </c:pt>
              </c:numCache>
            </c:numRef>
          </c:val>
          <c:smooth val="0"/>
          <c:extLst>
            <c:ext xmlns:c16="http://schemas.microsoft.com/office/drawing/2014/chart" uri="{C3380CC4-5D6E-409C-BE32-E72D297353CC}">
              <c16:uniqueId val="{00000001-8922-40F1-B47F-8B4637336C24}"/>
            </c:ext>
          </c:extLst>
        </c:ser>
        <c:ser>
          <c:idx val="2"/>
          <c:order val="2"/>
          <c:tx>
            <c:strRef>
              <c:f>'26.02.03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'26.02.03 보고자료 (수정중)'!$P$22:$R$22</c:f>
              <c:numCache>
                <c:formatCode>m"/"d;@</c:formatCode>
                <c:ptCount val="3"/>
                <c:pt idx="0">
                  <c:v>46041</c:v>
                </c:pt>
                <c:pt idx="1">
                  <c:v>46048</c:v>
                </c:pt>
                <c:pt idx="2">
                  <c:v>46051</c:v>
                </c:pt>
              </c:numCache>
            </c:numRef>
          </c:cat>
          <c:val>
            <c:numRef>
              <c:f>'26.02.03 보고자료 (수정중)'!$P$25:$R$25</c:f>
              <c:numCache>
                <c:formatCode>General</c:formatCode>
                <c:ptCount val="3"/>
                <c:pt idx="0">
                  <c:v>540</c:v>
                </c:pt>
                <c:pt idx="1">
                  <c:v>535</c:v>
                </c:pt>
                <c:pt idx="2">
                  <c:v>565</c:v>
                </c:pt>
              </c:numCache>
            </c:numRef>
          </c:val>
          <c:smooth val="0"/>
          <c:extLst>
            <c:ext xmlns:c16="http://schemas.microsoft.com/office/drawing/2014/chart" uri="{C3380CC4-5D6E-409C-BE32-E72D297353CC}">
              <c16:uniqueId val="{00000002-8922-40F1-B47F-8B4637336C24}"/>
            </c:ext>
          </c:extLst>
        </c:ser>
        <c:ser>
          <c:idx val="3"/>
          <c:order val="3"/>
          <c:tx>
            <c:strRef>
              <c:f>'26.02.03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'26.02.03 보고자료 (수정중)'!$P$22:$R$22</c:f>
              <c:numCache>
                <c:formatCode>m"/"d;@</c:formatCode>
                <c:ptCount val="3"/>
                <c:pt idx="0">
                  <c:v>46041</c:v>
                </c:pt>
                <c:pt idx="1">
                  <c:v>46048</c:v>
                </c:pt>
                <c:pt idx="2">
                  <c:v>46051</c:v>
                </c:pt>
              </c:numCache>
            </c:numRef>
          </c:cat>
          <c:val>
            <c:numRef>
              <c:f>'26.02.03 보고자료 (수정중)'!$P$26:$R$26</c:f>
              <c:numCache>
                <c:formatCode>General</c:formatCode>
                <c:ptCount val="3"/>
                <c:pt idx="0">
                  <c:v>460</c:v>
                </c:pt>
                <c:pt idx="1">
                  <c:v>465</c:v>
                </c:pt>
                <c:pt idx="2">
                  <c:v>465</c:v>
                </c:pt>
              </c:numCache>
            </c:numRef>
          </c:val>
          <c:smooth val="0"/>
          <c:extLst>
            <c:ext xmlns:c16="http://schemas.microsoft.com/office/drawing/2014/chart" uri="{C3380CC4-5D6E-409C-BE32-E72D297353CC}">
              <c16:uniqueId val="{00000003-8922-40F1-B47F-8B4637336C24}"/>
            </c:ext>
          </c:extLst>
        </c:ser>
        <c:ser>
          <c:idx val="4"/>
          <c:order val="4"/>
          <c:tx>
            <c:strRef>
              <c:f>'26.02.03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'26.02.03 보고자료 (수정중)'!$P$22:$R$22</c:f>
              <c:numCache>
                <c:formatCode>m"/"d;@</c:formatCode>
                <c:ptCount val="3"/>
                <c:pt idx="0">
                  <c:v>46041</c:v>
                </c:pt>
                <c:pt idx="1">
                  <c:v>46048</c:v>
                </c:pt>
                <c:pt idx="2">
                  <c:v>46051</c:v>
                </c:pt>
              </c:numCache>
            </c:numRef>
          </c:cat>
          <c:val>
            <c:numRef>
              <c:f>'26.02.03 보고자료 (수정중)'!$P$27:$R$27</c:f>
              <c:numCache>
                <c:formatCode>General</c:formatCode>
                <c:ptCount val="3"/>
              </c:numCache>
            </c:numRef>
          </c:val>
          <c:smooth val="0"/>
          <c:extLst>
            <c:ext xmlns:c16="http://schemas.microsoft.com/office/drawing/2014/chart" uri="{C3380CC4-5D6E-409C-BE32-E72D297353CC}">
              <c16:uniqueId val="{00000004-8922-40F1-B47F-8B4637336C24}"/>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9.1556876250388095E-2"/>
          <c:y val="1.3485478921430528E-2"/>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'26.01.27 보고자료 (수정중)'!$B$23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'26.01.27 보고자료 (수정중)'!$C$22:$F$22</c:f>
              <c:strCache>
                <c:ptCount val="4"/>
                <c:pt idx="0">
                  <c:v>1/12</c:v>
                </c:pt>
                <c:pt idx="1">
                  <c:v>1/19</c:v>
                </c:pt>
                <c:pt idx="2">
                  <c:v>1/26</c:v>
                </c:pt>
                <c:pt idx="3">
                  <c:v>This week assumption (FEB)</c:v>
                </c:pt>
              </c:strCache>
            </c:strRef>
          </c:cat>
          <c:val>
            <c:numRef>
              <c:f>'26.01.27 보고자료 (수정중)'!$C$23:$F$23</c:f>
              <c:numCache>
                <c:formatCode>General</c:formatCode>
                <c:ptCount val="4"/>
                <c:pt idx="0">
                  <c:v>45</c:v>
                </c:pt>
                <c:pt idx="1">
                  <c:v>70</c:v>
                </c:pt>
                <c:pt idx="2">
                  <c:v>40</c:v>
                </c:pt>
                <c:pt idx="3">
                  <c:v>40</c:v>
                </c:pt>
              </c:numCache>
            </c:numRef>
          </c:val>
          <c:smooth val="0"/>
          <c:extLst>
            <c:ext xmlns:c16="http://schemas.microsoft.com/office/drawing/2014/chart" uri="{C3380CC4-5D6E-409C-BE32-E72D297353CC}">
              <c16:uniqueId val="{00000000-0D3F-4902-A147-D05B5D769CDF}"/>
            </c:ext>
          </c:extLst>
        </c:ser>
        <c:ser>
          <c:idx val="1"/>
          <c:order val="1"/>
          <c:tx>
            <c:strRef>
              <c:f>'26.01.27 보고자료 (수정중)'!$B$24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'26.01.27 보고자료 (수정중)'!$C$22:$F$22</c:f>
              <c:strCache>
                <c:ptCount val="4"/>
                <c:pt idx="0">
                  <c:v>1/12</c:v>
                </c:pt>
                <c:pt idx="1">
                  <c:v>1/19</c:v>
                </c:pt>
                <c:pt idx="2">
                  <c:v>1/26</c:v>
                </c:pt>
                <c:pt idx="3">
                  <c:v>This week assumption (FEB)</c:v>
                </c:pt>
              </c:strCache>
            </c:strRef>
          </c:cat>
          <c:val>
            <c:numRef>
              <c:f>'26.01.27 보고자료 (수정중)'!$C$24:$F$24</c:f>
              <c:numCache>
                <c:formatCode>General</c:formatCode>
                <c:ptCount val="4"/>
                <c:pt idx="0">
                  <c:v>40</c:v>
                </c:pt>
                <c:pt idx="1">
                  <c:v>65</c:v>
                </c:pt>
                <c:pt idx="2">
                  <c:v>35</c:v>
                </c:pt>
                <c:pt idx="3">
                  <c:v>40</c:v>
                </c:pt>
              </c:numCache>
            </c:numRef>
          </c:val>
          <c:smooth val="0"/>
          <c:extLst>
            <c:ext xmlns:c16="http://schemas.microsoft.com/office/drawing/2014/chart" uri="{C3380CC4-5D6E-409C-BE32-E72D297353CC}">
              <c16:uniqueId val="{00000001-0D3F-4902-A147-D05B5D769CDF}"/>
            </c:ext>
          </c:extLst>
        </c:ser>
        <c:ser>
          <c:idx val="2"/>
          <c:order val="2"/>
          <c:tx>
            <c:strRef>
              <c:f>'26.01.27 보고자료 (수정중)'!$B$25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'26.01.27 보고자료 (수정중)'!$C$22:$F$22</c:f>
              <c:strCache>
                <c:ptCount val="4"/>
                <c:pt idx="0">
                  <c:v>1/12</c:v>
                </c:pt>
                <c:pt idx="1">
                  <c:v>1/19</c:v>
                </c:pt>
                <c:pt idx="2">
                  <c:v>1/26</c:v>
                </c:pt>
                <c:pt idx="3">
                  <c:v>This week assumption (FEB)</c:v>
                </c:pt>
              </c:strCache>
            </c:strRef>
          </c:cat>
          <c:val>
            <c:numRef>
              <c:f>'26.01.27 보고자료 (수정중)'!$C$25:$F$25</c:f>
              <c:numCache>
                <c:formatCode>General</c:formatCode>
                <c:ptCount val="4"/>
                <c:pt idx="0">
                  <c:v>50</c:v>
                </c:pt>
                <c:pt idx="1">
                  <c:v>75</c:v>
                </c:pt>
                <c:pt idx="2">
                  <c:v>45</c:v>
                </c:pt>
                <c:pt idx="3">
                  <c:v>40</c:v>
                </c:pt>
              </c:numCache>
            </c:numRef>
          </c:val>
          <c:smooth val="0"/>
          <c:extLst>
            <c:ext xmlns:c16="http://schemas.microsoft.com/office/drawing/2014/chart" uri="{C3380CC4-5D6E-409C-BE32-E72D297353CC}">
              <c16:uniqueId val="{00000002-0D3F-4902-A147-D05B5D769CDF}"/>
            </c:ext>
          </c:extLst>
        </c:ser>
        <c:ser>
          <c:idx val="3"/>
          <c:order val="3"/>
          <c:tx>
            <c:strRef>
              <c:f>'26.01.27 보고자료 (수정중)'!$B$26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'26.01.27 보고자료 (수정중)'!$C$22:$F$22</c:f>
              <c:strCache>
                <c:ptCount val="4"/>
                <c:pt idx="0">
                  <c:v>1/12</c:v>
                </c:pt>
                <c:pt idx="1">
                  <c:v>1/19</c:v>
                </c:pt>
                <c:pt idx="2">
                  <c:v>1/26</c:v>
                </c:pt>
                <c:pt idx="3">
                  <c:v>This week assumption (FEB)</c:v>
                </c:pt>
              </c:strCache>
            </c:strRef>
          </c:cat>
          <c:val>
            <c:numRef>
              <c:f>'26.01.27 보고자료 (수정중)'!$C$26:$F$26</c:f>
              <c:numCache>
                <c:formatCode>General</c:formatCode>
                <c:ptCount val="4"/>
                <c:pt idx="0">
                  <c:v>60</c:v>
                </c:pt>
                <c:pt idx="1">
                  <c:v>85</c:v>
                </c:pt>
                <c:pt idx="2">
                  <c:v>60</c:v>
                </c:pt>
                <c:pt idx="3">
                  <c:v>60</c:v>
                </c:pt>
              </c:numCache>
            </c:numRef>
          </c:val>
          <c:smooth val="0"/>
          <c:extLst>
            <c:ext xmlns:c16="http://schemas.microsoft.com/office/drawing/2014/chart" uri="{C3380CC4-5D6E-409C-BE32-E72D297353CC}">
              <c16:uniqueId val="{00000003-0D3F-4902-A147-D05B5D769CDF}"/>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'26.01.27 보고자료 (수정중)'!$O$23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'26.01.27 보고자료 (수정중)'!$P$22:$R$22</c:f>
              <c:numCache>
                <c:formatCode>m"/"d;@</c:formatCode>
                <c:ptCount val="3"/>
                <c:pt idx="0">
                  <c:v>46034</c:v>
                </c:pt>
                <c:pt idx="1">
                  <c:v>46041</c:v>
                </c:pt>
                <c:pt idx="2">
                  <c:v>46048</c:v>
                </c:pt>
              </c:numCache>
            </c:numRef>
          </c:cat>
          <c:val>
            <c:numRef>
              <c:f>'26.01.27 보고자료 (수정중)'!$P$23:$R$23</c:f>
              <c:numCache>
                <c:formatCode>General</c:formatCode>
                <c:ptCount val="3"/>
                <c:pt idx="0">
                  <c:v>455</c:v>
                </c:pt>
                <c:pt idx="1">
                  <c:v>505</c:v>
                </c:pt>
                <c:pt idx="2">
                  <c:v>511</c:v>
                </c:pt>
              </c:numCache>
            </c:numRef>
          </c:val>
          <c:smooth val="0"/>
          <c:extLst>
            <c:ext xmlns:c16="http://schemas.microsoft.com/office/drawing/2014/chart" uri="{C3380CC4-5D6E-409C-BE32-E72D297353CC}">
              <c16:uniqueId val="{00000000-76CD-4401-801F-79496EA88EB6}"/>
            </c:ext>
          </c:extLst>
        </c:ser>
        <c:ser>
          <c:idx val="1"/>
          <c:order val="1"/>
          <c:tx>
            <c:strRef>
              <c:f>'26.01.27 보고자료 (수정중)'!$O$24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'26.01.27 보고자료 (수정중)'!$P$22:$R$22</c:f>
              <c:numCache>
                <c:formatCode>m"/"d;@</c:formatCode>
                <c:ptCount val="3"/>
                <c:pt idx="0">
                  <c:v>46034</c:v>
                </c:pt>
                <c:pt idx="1">
                  <c:v>46041</c:v>
                </c:pt>
                <c:pt idx="2">
                  <c:v>46048</c:v>
                </c:pt>
              </c:numCache>
            </c:numRef>
          </c:cat>
          <c:val>
            <c:numRef>
              <c:f>'26.01.27 보고자료 (수정중)'!$P$24:$R$24</c:f>
              <c:numCache>
                <c:formatCode>General</c:formatCode>
                <c:ptCount val="3"/>
                <c:pt idx="0">
                  <c:v>429</c:v>
                </c:pt>
                <c:pt idx="1">
                  <c:v>445</c:v>
                </c:pt>
                <c:pt idx="2">
                  <c:v>455</c:v>
                </c:pt>
              </c:numCache>
            </c:numRef>
          </c:val>
          <c:smooth val="0"/>
          <c:extLst>
            <c:ext xmlns:c16="http://schemas.microsoft.com/office/drawing/2014/chart" uri="{C3380CC4-5D6E-409C-BE32-E72D297353CC}">
              <c16:uniqueId val="{00000001-76CD-4401-801F-79496EA88EB6}"/>
            </c:ext>
          </c:extLst>
        </c:ser>
        <c:ser>
          <c:idx val="2"/>
          <c:order val="2"/>
          <c:tx>
            <c:strRef>
              <c:f>'26.01.27 보고자료 (수정중)'!$O$25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'26.01.27 보고자료 (수정중)'!$P$22:$R$22</c:f>
              <c:numCache>
                <c:formatCode>m"/"d;@</c:formatCode>
                <c:ptCount val="3"/>
                <c:pt idx="0">
                  <c:v>46034</c:v>
                </c:pt>
                <c:pt idx="1">
                  <c:v>46041</c:v>
                </c:pt>
                <c:pt idx="2">
                  <c:v>46048</c:v>
                </c:pt>
              </c:numCache>
            </c:numRef>
          </c:cat>
          <c:val>
            <c:numRef>
              <c:f>'26.01.27 보고자료 (수정중)'!$P$25:$R$25</c:f>
              <c:numCache>
                <c:formatCode>General</c:formatCode>
                <c:ptCount val="3"/>
                <c:pt idx="0">
                  <c:v>510</c:v>
                </c:pt>
                <c:pt idx="1">
                  <c:v>540</c:v>
                </c:pt>
                <c:pt idx="2">
                  <c:v>535</c:v>
                </c:pt>
              </c:numCache>
            </c:numRef>
          </c:val>
          <c:smooth val="0"/>
          <c:extLst>
            <c:ext xmlns:c16="http://schemas.microsoft.com/office/drawing/2014/chart" uri="{C3380CC4-5D6E-409C-BE32-E72D297353CC}">
              <c16:uniqueId val="{00000002-76CD-4401-801F-79496EA88EB6}"/>
            </c:ext>
          </c:extLst>
        </c:ser>
        <c:ser>
          <c:idx val="3"/>
          <c:order val="3"/>
          <c:tx>
            <c:strRef>
              <c:f>'26.01.27 보고자료 (수정중)'!$O$26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'26.01.27 보고자료 (수정중)'!$P$22:$R$22</c:f>
              <c:numCache>
                <c:formatCode>m"/"d;@</c:formatCode>
                <c:ptCount val="3"/>
                <c:pt idx="0">
                  <c:v>46034</c:v>
                </c:pt>
                <c:pt idx="1">
                  <c:v>46041</c:v>
                </c:pt>
                <c:pt idx="2">
                  <c:v>46048</c:v>
                </c:pt>
              </c:numCache>
            </c:numRef>
          </c:cat>
          <c:val>
            <c:numRef>
              <c:f>'26.01.27 보고자료 (수정중)'!$P$26:$R$26</c:f>
              <c:numCache>
                <c:formatCode>General</c:formatCode>
                <c:ptCount val="3"/>
                <c:pt idx="0">
                  <c:v>445</c:v>
                </c:pt>
                <c:pt idx="1">
                  <c:v>460</c:v>
                </c:pt>
                <c:pt idx="2">
                  <c:v>465</c:v>
                </c:pt>
              </c:numCache>
            </c:numRef>
          </c:val>
          <c:smooth val="0"/>
          <c:extLst>
            <c:ext xmlns:c16="http://schemas.microsoft.com/office/drawing/2014/chart" uri="{C3380CC4-5D6E-409C-BE32-E72D297353CC}">
              <c16:uniqueId val="{00000003-76CD-4401-801F-79496EA88EB6}"/>
            </c:ext>
          </c:extLst>
        </c:ser>
        <c:ser>
          <c:idx val="4"/>
          <c:order val="4"/>
          <c:tx>
            <c:strRef>
              <c:f>'26.01.27 보고자료 (수정중)'!$O$27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'26.01.27 보고자료 (수정중)'!$P$22:$R$22</c:f>
              <c:numCache>
                <c:formatCode>m"/"d;@</c:formatCode>
                <c:ptCount val="3"/>
                <c:pt idx="0">
                  <c:v>46034</c:v>
                </c:pt>
                <c:pt idx="1">
                  <c:v>46041</c:v>
                </c:pt>
                <c:pt idx="2">
                  <c:v>46048</c:v>
                </c:pt>
              </c:numCache>
            </c:numRef>
          </c:cat>
          <c:val>
            <c:numRef>
              <c:f>'26.01.27 보고자료 (수정중)'!$P$27:$R$27</c:f>
              <c:numCache>
                <c:formatCode>General</c:formatCode>
                <c:ptCount val="3"/>
              </c:numCache>
            </c:numRef>
          </c:val>
          <c:smooth val="0"/>
          <c:extLst>
            <c:ext xmlns:c16="http://schemas.microsoft.com/office/drawing/2014/chart" uri="{C3380CC4-5D6E-409C-BE32-E72D297353CC}">
              <c16:uniqueId val="{00000004-76CD-4401-801F-79496EA88EB6}"/>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9.1556876250388095E-2"/>
          <c:y val="1.3485478921430528E-2"/>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2700" cap="rnd">
            <a:solidFill>
              <a:srgbClr val="C00000"/>
            </a:solidFill>
            <a:prstDash val="dash"/>
            <a:round/>
          </a:ln>
          <a:effectLst/>
        </c:spPr>
        <c:marker>
          <c:symbol val="none"/>
        </c:marker>
      </c:pivotFmt>
      <c:pivotFmt>
        <c:idx val="27"/>
        <c:spPr>
          <a:solidFill>
            <a:schemeClr val="accent1"/>
          </a:solidFill>
          <a:ln w="12700" cap="rnd">
            <a:solidFill>
              <a:srgbClr val="C00000"/>
            </a:solidFill>
            <a:prstDash val="dash"/>
            <a:round/>
          </a:ln>
          <a:effectLst/>
        </c:spPr>
        <c:marker>
          <c:symbol val="none"/>
        </c:marker>
      </c:pivotFmt>
      <c:pivotFmt>
        <c:idx val="28"/>
        <c:spPr>
          <a:solidFill>
            <a:schemeClr val="accent1"/>
          </a:solidFill>
          <a:ln w="12700" cap="rnd">
            <a:solidFill>
              <a:srgbClr val="C00000"/>
            </a:solidFill>
            <a:prstDash val="dash"/>
            <a:round/>
          </a:ln>
          <a:effectLst/>
        </c:spPr>
        <c:marker>
          <c:symbol val="none"/>
        </c:marker>
      </c:pivotFmt>
      <c:pivotFmt>
        <c:idx val="29"/>
        <c:spPr>
          <a:solidFill>
            <a:schemeClr val="accent1"/>
          </a:solidFill>
          <a:ln w="12700" cap="rnd">
            <a:solidFill>
              <a:srgbClr val="C00000"/>
            </a:solidFill>
            <a:prstDash val="dash"/>
            <a:round/>
          </a:ln>
          <a:effectLst/>
        </c:spPr>
        <c:marker>
          <c:symbol val="none"/>
        </c:marker>
      </c:pivotFmt>
      <c:pivotFmt>
        <c:idx val="3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2700" cap="rnd">
            <a:solidFill>
              <a:srgbClr val="C00000"/>
            </a:solidFill>
            <a:prstDash val="dash"/>
            <a:round/>
          </a:ln>
          <a:effectLst/>
        </c:spPr>
        <c:marker>
          <c:symbol val="none"/>
        </c:marker>
        <c:dLbl>
          <c:idx val="0"/>
          <c:layout>
            <c:manualLayout>
              <c:x val="-1.0111953773925604E-2"/>
              <c:y val="8.0448428431837537E-3"/>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fld id="{E6E1DC22-586C-4339-98BF-AB4F7E029D83}" type="VALUE">
                  <a:rPr lang="en-US" altLang="ko-KR"/>
                  <a:pPr>
                    <a:defRPr sz="900" b="1" i="0" u="none" strike="noStrike" kern="1200" baseline="0">
                      <a:solidFill>
                        <a:srgbClr val="FF0000"/>
                      </a:solidFill>
                      <a:latin typeface="+mn-lt"/>
                      <a:ea typeface="+mn-ea"/>
                      <a:cs typeface="+mn-cs"/>
                    </a:defRPr>
                  </a:pPr>
                  <a:t>[값]</a:t>
                </a:fld>
                <a:br>
                  <a:rPr lang="en-US" altLang="ko-KR"/>
                </a:br>
                <a:r>
                  <a:rPr lang="en-US" altLang="ko-KR"/>
                  <a:t>(75%)</a:t>
                </a: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15:layout>
                <c:manualLayout>
                  <c:w val="6.7374503430841462E-2"/>
                  <c:h val="7.3517634477220484E-2"/>
                </c:manualLayout>
              </c15:layout>
              <c15:dlblFieldTable/>
              <c15:showDataLabelsRange val="0"/>
            </c:ext>
          </c:extLst>
        </c:dLbl>
      </c:pivotFmt>
      <c:pivotFmt>
        <c:idx val="42"/>
        <c:spPr>
          <a:solidFill>
            <a:schemeClr val="accent1"/>
          </a:solidFill>
          <a:ln w="12700" cap="rnd">
            <a:solidFill>
              <a:srgbClr val="C00000"/>
            </a:solidFill>
            <a:prstDash val="dash"/>
            <a:round/>
          </a:ln>
          <a:effectLst/>
        </c:spPr>
        <c:marker>
          <c:symbol val="none"/>
        </c:marker>
      </c:pivotFmt>
      <c:pivotFmt>
        <c:idx val="43"/>
        <c:spPr>
          <a:solidFill>
            <a:schemeClr val="accent1"/>
          </a:solidFill>
          <a:ln w="12700" cap="rnd">
            <a:solidFill>
              <a:srgbClr val="C00000"/>
            </a:solidFill>
            <a:prstDash val="dash"/>
            <a:round/>
          </a:ln>
          <a:effectLst/>
        </c:spPr>
        <c:marker>
          <c:symbol val="none"/>
        </c:marker>
      </c:pivotFmt>
      <c:pivotFmt>
        <c:idx val="44"/>
        <c:spPr>
          <a:solidFill>
            <a:schemeClr val="accent1"/>
          </a:solidFill>
          <a:ln w="12700" cap="rnd">
            <a:solidFill>
              <a:srgbClr val="C00000"/>
            </a:solidFill>
            <a:prstDash val="dash"/>
            <a:round/>
          </a:ln>
          <a:effectLst/>
        </c:spPr>
        <c:marker>
          <c:symbol val="none"/>
        </c:marker>
      </c:pivotFmt>
      <c:pivotFmt>
        <c:idx val="45"/>
        <c:spPr>
          <a:solidFill>
            <a:schemeClr val="accent1"/>
          </a:solidFill>
          <a:ln w="12700" cap="rnd">
            <a:solidFill>
              <a:srgbClr val="C00000"/>
            </a:solidFill>
            <a:prstDash val="dash"/>
            <a:round/>
          </a:ln>
          <a:effectLst/>
        </c:spPr>
        <c:marker>
          <c:symbol val="none"/>
        </c:marker>
      </c:pivotFmt>
      <c:pivotFmt>
        <c:idx val="46"/>
        <c:spPr>
          <a:solidFill>
            <a:schemeClr val="accent1"/>
          </a:solidFill>
          <a:ln w="12700" cap="rnd">
            <a:solidFill>
              <a:srgbClr val="C00000"/>
            </a:solidFill>
            <a:prstDash val="dash"/>
            <a:round/>
          </a:ln>
          <a:effectLst/>
        </c:spPr>
        <c:marker>
          <c:symbol val="none"/>
        </c:marker>
      </c:pivotFmt>
      <c:pivotFmt>
        <c:idx val="47"/>
        <c:spPr>
          <a:solidFill>
            <a:schemeClr val="accent1"/>
          </a:solidFill>
          <a:ln w="12700" cap="rnd">
            <a:solidFill>
              <a:srgbClr val="C00000"/>
            </a:solidFill>
            <a:prstDash val="dash"/>
            <a:round/>
          </a:ln>
          <a:effectLst/>
        </c:spPr>
        <c:marker>
          <c:symbol val="none"/>
        </c:marker>
      </c:pivotFmt>
      <c:pivotFmt>
        <c:idx val="48"/>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2700" cap="rnd">
            <a:solidFill>
              <a:srgbClr val="C00000"/>
            </a:solidFill>
            <a:prstDash val="dash"/>
            <a:round/>
          </a:ln>
          <a:effectLst/>
        </c:spPr>
        <c:marker>
          <c:symbol val="none"/>
        </c:marker>
        <c:dLbl>
          <c:idx val="0"/>
          <c:layout>
            <c:manualLayout>
              <c:x val="-1.8779342723004799E-2"/>
              <c:y val="-8.4277384383649676E-17"/>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fld id="{723B648D-E3BD-4CDC-B4DD-D55024D86B27}" type="VALUE">
                  <a:rPr lang="en-US" altLang="ko-KR"/>
                  <a:pPr>
                    <a:defRPr sz="900" b="1" i="0" u="none" strike="noStrike" kern="1200" baseline="0">
                      <a:solidFill>
                        <a:srgbClr val="FF0000"/>
                      </a:solidFill>
                      <a:latin typeface="+mn-lt"/>
                      <a:ea typeface="+mn-ea"/>
                      <a:cs typeface="+mn-cs"/>
                    </a:defRPr>
                  </a:pPr>
                  <a:t>[값]</a:t>
                </a:fld>
                <a:endParaRPr lang="en-US" altLang="ko-KR"/>
              </a:p>
              <a:p>
                <a:pPr>
                  <a:defRPr sz="900" b="1" i="0" u="none" strike="noStrike" kern="1200" baseline="0">
                    <a:solidFill>
                      <a:srgbClr val="FF0000"/>
                    </a:solidFill>
                    <a:latin typeface="+mn-lt"/>
                    <a:ea typeface="+mn-ea"/>
                    <a:cs typeface="+mn-cs"/>
                  </a:defRPr>
                </a:pPr>
                <a:r>
                  <a:rPr lang="en-US" altLang="ko-KR"/>
                  <a:t>(25%)</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ltLang="ko-KR"/>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2700" cap="rnd">
            <a:solidFill>
              <a:srgbClr val="C00000"/>
            </a:solidFill>
            <a:prstDash val="dash"/>
            <a:round/>
          </a:ln>
          <a:effectLst/>
        </c:spPr>
        <c:marker>
          <c:symbol val="none"/>
        </c:marker>
        <c:dLbl>
          <c:idx val="0"/>
          <c:layout>
            <c:manualLayout>
              <c:x val="-1.8779342723004799E-2"/>
              <c:y val="-8.4277384383649676E-17"/>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fld id="{723B648D-E3BD-4CDC-B4DD-D55024D86B27}" type="VALUE">
                  <a:rPr lang="en-US" altLang="ko-KR"/>
                  <a:pPr>
                    <a:defRPr sz="900" b="1" i="0" u="none" strike="noStrike" kern="1200" baseline="0">
                      <a:solidFill>
                        <a:srgbClr val="FF0000"/>
                      </a:solidFill>
                      <a:latin typeface="+mn-lt"/>
                      <a:ea typeface="+mn-ea"/>
                      <a:cs typeface="+mn-cs"/>
                    </a:defRPr>
                  </a:pPr>
                  <a:t>[값]</a:t>
                </a:fld>
                <a:endParaRPr lang="en-US" altLang="ko-KR"/>
              </a:p>
              <a:p>
                <a:pPr>
                  <a:defRPr sz="900" b="1" i="0" u="none" strike="noStrike" kern="1200" baseline="0">
                    <a:solidFill>
                      <a:srgbClr val="FF0000"/>
                    </a:solidFill>
                    <a:latin typeface="+mn-lt"/>
                    <a:ea typeface="+mn-ea"/>
                    <a:cs typeface="+mn-cs"/>
                  </a:defRPr>
                </a:pPr>
                <a:r>
                  <a:rPr lang="en-US" altLang="ko-KR"/>
                  <a:t>(25%)</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ltLang="ko-KR"/>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3"/>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2700" cap="rnd">
            <a:solidFill>
              <a:srgbClr val="C00000"/>
            </a:solidFill>
            <a:prstDash val="dash"/>
            <a:round/>
          </a:ln>
          <a:effectLst/>
        </c:spPr>
        <c:marker>
          <c:symbol val="none"/>
        </c:marker>
        <c:dLbl>
          <c:idx val="0"/>
          <c:layout>
            <c:manualLayout>
              <c:x val="-1.0111953773925604E-2"/>
              <c:y val="8.0448428431837537E-3"/>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fld id="{E6E1DC22-586C-4339-98BF-AB4F7E029D83}" type="VALUE">
                  <a:rPr lang="en-US" altLang="ko-KR"/>
                  <a:pPr>
                    <a:defRPr sz="900" b="1" i="0" u="none" strike="noStrike" kern="1200" baseline="0">
                      <a:solidFill>
                        <a:srgbClr val="FF0000"/>
                      </a:solidFill>
                      <a:latin typeface="+mn-lt"/>
                      <a:ea typeface="+mn-ea"/>
                      <a:cs typeface="+mn-cs"/>
                    </a:defRPr>
                  </a:pPr>
                  <a:t>[값]</a:t>
                </a:fld>
                <a:br>
                  <a:rPr lang="en-US" altLang="ko-KR"/>
                </a:br>
                <a:r>
                  <a:rPr lang="en-US" altLang="ko-KR"/>
                  <a:t>(75%)</a:t>
                </a: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15:layout>
                <c:manualLayout>
                  <c:w val="6.7374503430841462E-2"/>
                  <c:h val="7.3517634477220484E-2"/>
                </c:manualLayout>
              </c15:layout>
              <c15:dlblFieldTable/>
              <c15:showDataLabelsRange val="0"/>
            </c:ext>
          </c:extLst>
        </c:dLbl>
      </c:pivotFmt>
      <c:pivotFmt>
        <c:idx val="65"/>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270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Avg.KR</c:v>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strLit>
          </c:cat>
          <c:val>
            <c:numLit>
              <c:formatCode>General</c:formatCode>
              <c:ptCount val="16"/>
              <c:pt idx="0">
                <c:v>26.220000000000027</c:v>
              </c:pt>
              <c:pt idx="1">
                <c:v>43.889999999999986</c:v>
              </c:pt>
              <c:pt idx="2">
                <c:v>24.060000000000002</c:v>
              </c:pt>
              <c:pt idx="3">
                <c:v>40.620000000000005</c:v>
              </c:pt>
              <c:pt idx="4">
                <c:v>53.329999999999984</c:v>
              </c:pt>
              <c:pt idx="5">
                <c:v>43.509999999999991</c:v>
              </c:pt>
              <c:pt idx="6">
                <c:v>40.629999999999995</c:v>
              </c:pt>
              <c:pt idx="7">
                <c:v>58.94</c:v>
              </c:pt>
              <c:pt idx="8">
                <c:v>68.20999999999998</c:v>
              </c:pt>
              <c:pt idx="9">
                <c:v>62.879999999999995</c:v>
              </c:pt>
              <c:pt idx="10">
                <c:v>59.339999999999975</c:v>
              </c:pt>
              <c:pt idx="11">
                <c:v>73.430000000000007</c:v>
              </c:pt>
              <c:pt idx="12">
                <c:v>77.75</c:v>
              </c:pt>
              <c:pt idx="13">
                <c:v>76.819999999999993</c:v>
              </c:pt>
              <c:pt idx="14">
                <c:v>81.779999999999973</c:v>
              </c:pt>
              <c:pt idx="15">
                <c:v>76.12</c:v>
              </c:pt>
            </c:numLit>
          </c:val>
          <c:smooth val="0"/>
          <c:extLst>
            <c:ext xmlns:c16="http://schemas.microsoft.com/office/drawing/2014/chart" uri="{C3380CC4-5D6E-409C-BE32-E72D297353CC}">
              <c16:uniqueId val="{00000000-E137-4F2D-BFDB-F7447BEE6B4B}"/>
            </c:ext>
          </c:extLst>
        </c:ser>
        <c:ser>
          <c:idx val="1"/>
          <c:order val="1"/>
          <c:tx>
            <c:v>Avg.SP</c:v>
          </c:tx>
          <c:spPr>
            <a:ln w="9525" cap="rnd">
              <a:solidFill>
                <a:schemeClr val="accent6">
                  <a:lumMod val="75000"/>
                </a:schemeClr>
              </a:solidFill>
              <a:round/>
            </a:ln>
            <a:effectLst/>
          </c:spPr>
          <c:marker>
            <c:symbol val="none"/>
          </c:marker>
          <c:cat>
            <c:strLit>
              <c:ptCount val="16"/>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strLit>
          </c:cat>
          <c:val>
            <c:numLit>
              <c:formatCode>General</c:formatCode>
              <c:ptCount val="16"/>
              <c:pt idx="0">
                <c:v>14.220000000000027</c:v>
              </c:pt>
              <c:pt idx="1">
                <c:v>11.639999999999986</c:v>
              </c:pt>
              <c:pt idx="2">
                <c:v>12.060000000000002</c:v>
              </c:pt>
              <c:pt idx="3">
                <c:v>13.120000000000005</c:v>
              </c:pt>
              <c:pt idx="4">
                <c:v>13.079999999999984</c:v>
              </c:pt>
              <c:pt idx="5">
                <c:v>13.509999999999991</c:v>
              </c:pt>
              <c:pt idx="6">
                <c:v>12.629999999999995</c:v>
              </c:pt>
              <c:pt idx="7">
                <c:v>13.439999999999998</c:v>
              </c:pt>
              <c:pt idx="8">
                <c:v>13.70999999999998</c:v>
              </c:pt>
              <c:pt idx="9">
                <c:v>13.879999999999995</c:v>
              </c:pt>
              <c:pt idx="10">
                <c:v>14.339999999999975</c:v>
              </c:pt>
              <c:pt idx="11">
                <c:v>15.180000000000007</c:v>
              </c:pt>
              <c:pt idx="12">
                <c:v>15</c:v>
              </c:pt>
              <c:pt idx="13">
                <c:v>15.319999999999993</c:v>
              </c:pt>
              <c:pt idx="14">
                <c:v>17.029999999999973</c:v>
              </c:pt>
              <c:pt idx="15">
                <c:v>19.870000000000005</c:v>
              </c:pt>
            </c:numLit>
          </c:val>
          <c:smooth val="0"/>
          <c:extLst>
            <c:ext xmlns:c16="http://schemas.microsoft.com/office/drawing/2014/chart" uri="{C3380CC4-5D6E-409C-BE32-E72D297353CC}">
              <c16:uniqueId val="{00000001-E137-4F2D-BFDB-F7447BEE6B4B}"/>
            </c:ext>
          </c:extLst>
        </c:ser>
        <c:ser>
          <c:idx val="2"/>
          <c:order val="2"/>
          <c:tx>
            <c:v>Avg.ZS</c:v>
          </c:tx>
          <c:spPr>
            <a:ln w="9525" cap="rnd">
              <a:solidFill>
                <a:schemeClr val="accent1">
                  <a:lumMod val="75000"/>
                </a:schemeClr>
              </a:solidFill>
              <a:round/>
            </a:ln>
            <a:effectLst/>
          </c:spPr>
          <c:marker>
            <c:symbol val="none"/>
          </c:marker>
          <c:cat>
            <c:strLit>
              <c:ptCount val="16"/>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strLit>
          </c:cat>
          <c:val>
            <c:numLit>
              <c:formatCode>General</c:formatCode>
              <c:ptCount val="16"/>
              <c:pt idx="0">
                <c:v>41.220000000000027</c:v>
              </c:pt>
              <c:pt idx="1">
                <c:v>36.639999999999986</c:v>
              </c:pt>
              <c:pt idx="2">
                <c:v>37.06</c:v>
              </c:pt>
              <c:pt idx="3">
                <c:v>35.120000000000005</c:v>
              </c:pt>
              <c:pt idx="4">
                <c:v>38.079999999999984</c:v>
              </c:pt>
              <c:pt idx="5">
                <c:v>35.509999999999991</c:v>
              </c:pt>
              <c:pt idx="6">
                <c:v>32.629999999999995</c:v>
              </c:pt>
              <c:pt idx="7">
                <c:v>28.439999999999998</c:v>
              </c:pt>
              <c:pt idx="8">
                <c:v>25.70999999999998</c:v>
              </c:pt>
              <c:pt idx="9">
                <c:v>26.879999999999995</c:v>
              </c:pt>
              <c:pt idx="10">
                <c:v>28.339999999999975</c:v>
              </c:pt>
              <c:pt idx="11">
                <c:v>27.180000000000007</c:v>
              </c:pt>
              <c:pt idx="12">
                <c:v>28</c:v>
              </c:pt>
              <c:pt idx="13">
                <c:v>29.319999999999993</c:v>
              </c:pt>
              <c:pt idx="14">
                <c:v>30.029999999999973</c:v>
              </c:pt>
              <c:pt idx="15">
                <c:v>29.870000000000005</c:v>
              </c:pt>
            </c:numLit>
          </c:val>
          <c:smooth val="0"/>
          <c:extLst>
            <c:ext xmlns:c16="http://schemas.microsoft.com/office/drawing/2014/chart" uri="{C3380CC4-5D6E-409C-BE32-E72D297353CC}">
              <c16:uniqueId val="{00000002-E137-4F2D-BFDB-F7447BEE6B4B}"/>
            </c:ext>
          </c:extLst>
        </c:ser>
        <c:ser>
          <c:idx val="3"/>
          <c:order val="3"/>
          <c:tx>
            <c:v>Avg.KR '25 25%</c:v>
          </c:tx>
          <c:spPr>
            <a:ln w="12700" cap="rnd">
              <a:solidFill>
                <a:srgbClr val="C00000"/>
              </a:solidFill>
              <a:prstDash val="dash"/>
              <a:round/>
            </a:ln>
            <a:effectLst/>
          </c:spPr>
          <c:marker>
            <c:symbol val="none"/>
          </c:marker>
          <c:dLbls>
            <c:dLbl>
              <c:idx val="15"/>
              <c:layout>
                <c:manualLayout>
                  <c:x val="-1.8779342723004799E-2"/>
                  <c:y val="-8.4277384383649676E-17"/>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fld id="{723B648D-E3BD-4CDC-B4DD-D55024D86B27}" type="VALUE">
                      <a:rPr lang="en-US" altLang="ko-KR"/>
                      <a:pPr>
                        <a:defRPr b="1">
                          <a:solidFill>
                            <a:srgbClr val="FF0000"/>
                          </a:solidFill>
                        </a:defRPr>
                      </a:pPr>
                      <a:t>[값]</a:t>
                    </a:fld>
                    <a:endParaRPr lang="en-US" altLang="ko-KR"/>
                  </a:p>
                  <a:p>
                    <a:pPr>
                      <a:defRPr b="1">
                        <a:solidFill>
                          <a:srgbClr val="FF0000"/>
                        </a:solidFill>
                      </a:defRPr>
                    </a:pPr>
                    <a:r>
                      <a:rPr lang="en-US" altLang="ko-KR"/>
                      <a:t>(25%)</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ltLang="ko-KR"/>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137-4F2D-BFDB-F7447BEE6B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strLit>
          </c:cat>
          <c:val>
            <c:numLit>
              <c:formatCode>General</c:formatCode>
              <c:ptCount val="16"/>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pt idx="8">
                <c:v>23.747500000000002</c:v>
              </c:pt>
              <c:pt idx="9">
                <c:v>23.747500000000002</c:v>
              </c:pt>
              <c:pt idx="10">
                <c:v>23.747500000000002</c:v>
              </c:pt>
              <c:pt idx="11">
                <c:v>23.747500000000002</c:v>
              </c:pt>
              <c:pt idx="12">
                <c:v>23.747500000000002</c:v>
              </c:pt>
              <c:pt idx="13">
                <c:v>23.747500000000002</c:v>
              </c:pt>
              <c:pt idx="14">
                <c:v>23.747500000000002</c:v>
              </c:pt>
              <c:pt idx="15">
                <c:v>23.747500000000002</c:v>
              </c:pt>
            </c:numLit>
          </c:val>
          <c:smooth val="0"/>
          <c:extLst>
            <c:ext xmlns:c16="http://schemas.microsoft.com/office/drawing/2014/chart" uri="{C3380CC4-5D6E-409C-BE32-E72D297353CC}">
              <c16:uniqueId val="{00000004-E137-4F2D-BFDB-F7447BEE6B4B}"/>
            </c:ext>
          </c:extLst>
        </c:ser>
        <c:ser>
          <c:idx val="4"/>
          <c:order val="4"/>
          <c:tx>
            <c:v>Avg.KR '25 75%</c:v>
          </c:tx>
          <c:spPr>
            <a:ln w="12700" cap="rnd">
              <a:solidFill>
                <a:srgbClr val="C00000"/>
              </a:solidFill>
              <a:prstDash val="dash"/>
              <a:round/>
            </a:ln>
            <a:effectLst/>
          </c:spPr>
          <c:marker>
            <c:symbol val="none"/>
          </c:marker>
          <c:dLbls>
            <c:dLbl>
              <c:idx val="15"/>
              <c:layout>
                <c:manualLayout>
                  <c:x val="-1.0111953773925604E-2"/>
                  <c:y val="8.0448428431837537E-3"/>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fld id="{E6E1DC22-586C-4339-98BF-AB4F7E029D83}" type="VALUE">
                      <a:rPr lang="en-US" altLang="ko-KR"/>
                      <a:pPr>
                        <a:defRPr b="1">
                          <a:solidFill>
                            <a:srgbClr val="FF0000"/>
                          </a:solidFill>
                        </a:defRPr>
                      </a:pPr>
                      <a:t>[값]</a:t>
                    </a:fld>
                    <a:br>
                      <a:rPr lang="en-US" altLang="ko-KR"/>
                    </a:br>
                    <a:r>
                      <a:rPr lang="en-US" altLang="ko-KR"/>
                      <a:t>(75%)</a:t>
                    </a: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ko-KR"/>
                </a:p>
              </c:txPr>
              <c:showLegendKey val="0"/>
              <c:showVal val="1"/>
              <c:showCatName val="0"/>
              <c:showSerName val="0"/>
              <c:showPercent val="0"/>
              <c:showBubbleSize val="0"/>
              <c:extLst>
                <c:ext xmlns:c15="http://schemas.microsoft.com/office/drawing/2012/chart" uri="{CE6537A1-D6FC-4f65-9D91-7224C49458BB}">
                  <c15:layout>
                    <c:manualLayout>
                      <c:w val="6.7374503430841462E-2"/>
                      <c:h val="7.3517634477220484E-2"/>
                    </c:manualLayout>
                  </c15:layout>
                  <c15:dlblFieldTable/>
                  <c15:showDataLabelsRange val="0"/>
                </c:ext>
                <c:ext xmlns:c16="http://schemas.microsoft.com/office/drawing/2014/chart" uri="{C3380CC4-5D6E-409C-BE32-E72D297353CC}">
                  <c16:uniqueId val="{00000005-E137-4F2D-BFDB-F7447BEE6B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strLit>
          </c:cat>
          <c:val>
            <c:numLit>
              <c:formatCode>General</c:formatCode>
              <c:ptCount val="16"/>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pt idx="8">
                <c:v>51.122500000000002</c:v>
              </c:pt>
              <c:pt idx="9">
                <c:v>51.122500000000002</c:v>
              </c:pt>
              <c:pt idx="10">
                <c:v>51.122500000000002</c:v>
              </c:pt>
              <c:pt idx="11">
                <c:v>51.122500000000002</c:v>
              </c:pt>
              <c:pt idx="12">
                <c:v>51.122500000000002</c:v>
              </c:pt>
              <c:pt idx="13">
                <c:v>51.122500000000002</c:v>
              </c:pt>
              <c:pt idx="14">
                <c:v>51.122500000000002</c:v>
              </c:pt>
              <c:pt idx="15">
                <c:v>51.122500000000002</c:v>
              </c:pt>
            </c:numLit>
          </c:val>
          <c:smooth val="0"/>
          <c:extLst>
            <c:ext xmlns:c16="http://schemas.microsoft.com/office/drawing/2014/chart" uri="{C3380CC4-5D6E-409C-BE32-E72D297353CC}">
              <c16:uniqueId val="{00000006-E137-4F2D-BFDB-F7447BEE6B4B}"/>
            </c:ext>
          </c:extLst>
        </c:ser>
        <c:ser>
          <c:idx val="5"/>
          <c:order val="5"/>
          <c:tx>
            <c:v>Avg.SP '25 25%</c:v>
          </c:tx>
          <c:spPr>
            <a:ln w="9525" cap="rnd">
              <a:solidFill>
                <a:schemeClr val="accent6">
                  <a:lumMod val="75000"/>
                </a:schemeClr>
              </a:solidFill>
              <a:prstDash val="sysDash"/>
              <a:round/>
            </a:ln>
            <a:effectLst/>
          </c:spPr>
          <c:marker>
            <c:symbol val="none"/>
          </c:marker>
          <c:cat>
            <c:strLit>
              <c:ptCount val="16"/>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strLit>
          </c:cat>
          <c:val>
            <c:numLit>
              <c:formatCode>General</c:formatCode>
              <c:ptCount val="16"/>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pt idx="8">
                <c:v>10.920000000000016</c:v>
              </c:pt>
              <c:pt idx="9">
                <c:v>10.920000000000016</c:v>
              </c:pt>
              <c:pt idx="10">
                <c:v>10.920000000000016</c:v>
              </c:pt>
              <c:pt idx="11">
                <c:v>10.920000000000016</c:v>
              </c:pt>
              <c:pt idx="12">
                <c:v>10.920000000000016</c:v>
              </c:pt>
              <c:pt idx="13">
                <c:v>10.920000000000016</c:v>
              </c:pt>
              <c:pt idx="14">
                <c:v>10.920000000000016</c:v>
              </c:pt>
              <c:pt idx="15">
                <c:v>10.920000000000016</c:v>
              </c:pt>
            </c:numLit>
          </c:val>
          <c:smooth val="0"/>
          <c:extLst>
            <c:ext xmlns:c16="http://schemas.microsoft.com/office/drawing/2014/chart" uri="{C3380CC4-5D6E-409C-BE32-E72D297353CC}">
              <c16:uniqueId val="{00000007-E137-4F2D-BFDB-F7447BEE6B4B}"/>
            </c:ext>
          </c:extLst>
        </c:ser>
        <c:ser>
          <c:idx val="6"/>
          <c:order val="6"/>
          <c:tx>
            <c:v>Avg.SP '25 75%</c:v>
          </c:tx>
          <c:spPr>
            <a:ln w="9525" cap="rnd">
              <a:solidFill>
                <a:schemeClr val="accent6">
                  <a:lumMod val="75000"/>
                </a:schemeClr>
              </a:solidFill>
              <a:prstDash val="sysDash"/>
              <a:round/>
            </a:ln>
            <a:effectLst/>
          </c:spPr>
          <c:marker>
            <c:symbol val="none"/>
          </c:marker>
          <c:cat>
            <c:strLit>
              <c:ptCount val="16"/>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strLit>
          </c:cat>
          <c:val>
            <c:numLit>
              <c:formatCode>General</c:formatCode>
              <c:ptCount val="16"/>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pt idx="8">
                <c:v>13.480000000000018</c:v>
              </c:pt>
              <c:pt idx="9">
                <c:v>13.480000000000018</c:v>
              </c:pt>
              <c:pt idx="10">
                <c:v>13.480000000000018</c:v>
              </c:pt>
              <c:pt idx="11">
                <c:v>13.480000000000018</c:v>
              </c:pt>
              <c:pt idx="12">
                <c:v>13.480000000000018</c:v>
              </c:pt>
              <c:pt idx="13">
                <c:v>13.480000000000018</c:v>
              </c:pt>
              <c:pt idx="14">
                <c:v>13.480000000000018</c:v>
              </c:pt>
              <c:pt idx="15">
                <c:v>13.480000000000018</c:v>
              </c:pt>
            </c:numLit>
          </c:val>
          <c:smooth val="0"/>
          <c:extLst>
            <c:ext xmlns:c16="http://schemas.microsoft.com/office/drawing/2014/chart" uri="{C3380CC4-5D6E-409C-BE32-E72D297353CC}">
              <c16:uniqueId val="{00000008-E137-4F2D-BFDB-F7447BEE6B4B}"/>
            </c:ext>
          </c:extLst>
        </c:ser>
        <c:ser>
          <c:idx val="7"/>
          <c:order val="7"/>
          <c:tx>
            <c:v>Avg. JP Spread</c:v>
          </c:tx>
          <c:spPr>
            <a:ln w="12700" cap="rnd">
              <a:solidFill>
                <a:schemeClr val="tx1">
                  <a:lumMod val="75000"/>
                  <a:lumOff val="25000"/>
                </a:schemeClr>
              </a:solidFill>
              <a:round/>
            </a:ln>
            <a:effectLst/>
          </c:spPr>
          <c:marker>
            <c:symbol val="none"/>
          </c:marker>
          <c:cat>
            <c:strLit>
              <c:ptCount val="16"/>
              <c:pt idx="0">
                <c:v>2026년 1월 02 Jan</c:v>
              </c:pt>
              <c:pt idx="1">
                <c:v>2026년 1월 05 Jan</c:v>
              </c:pt>
              <c:pt idx="2">
                <c:v>2026년 1월 06 Jan</c:v>
              </c:pt>
              <c:pt idx="3">
                <c:v>2026년 1월 07 Jan</c:v>
              </c:pt>
              <c:pt idx="4">
                <c:v>2026년 1월 08 Jan</c:v>
              </c:pt>
              <c:pt idx="5">
                <c:v>2026년 1월 09 Jan</c:v>
              </c:pt>
              <c:pt idx="6">
                <c:v>2026년 1월 12 Jan</c:v>
              </c:pt>
              <c:pt idx="7">
                <c:v>2026년 1월 13 Jan</c:v>
              </c:pt>
              <c:pt idx="8">
                <c:v>2026년 1월 14 Jan</c:v>
              </c:pt>
              <c:pt idx="9">
                <c:v>2026년 1월 15 Jan</c:v>
              </c:pt>
              <c:pt idx="10">
                <c:v>2026년 1월 16 Jan</c:v>
              </c:pt>
              <c:pt idx="11">
                <c:v>2026년 1월 19 Jan</c:v>
              </c:pt>
              <c:pt idx="12">
                <c:v>2026년 1월 20 Jan</c:v>
              </c:pt>
              <c:pt idx="13">
                <c:v>2026년 1월 21 Jan</c:v>
              </c:pt>
              <c:pt idx="14">
                <c:v>2026년 1월 22 Jan</c:v>
              </c:pt>
              <c:pt idx="15">
                <c:v>2026년 1월 23 Jan</c:v>
              </c:pt>
            </c:strLit>
          </c:cat>
          <c:val>
            <c:numLit>
              <c:formatCode>General</c:formatCode>
              <c:ptCount val="16"/>
              <c:pt idx="0">
                <c:v>73.220000000000027</c:v>
              </c:pt>
              <c:pt idx="1">
                <c:v>72.639999999999986</c:v>
              </c:pt>
              <c:pt idx="2">
                <c:v>72.06</c:v>
              </c:pt>
              <c:pt idx="3">
                <c:v>71.12</c:v>
              </c:pt>
              <c:pt idx="4">
                <c:v>70.079999999999984</c:v>
              </c:pt>
              <c:pt idx="5">
                <c:v>68.509999999999991</c:v>
              </c:pt>
              <c:pt idx="6">
                <c:v>68.63</c:v>
              </c:pt>
              <c:pt idx="7">
                <c:v>63.44</c:v>
              </c:pt>
              <c:pt idx="8">
                <c:v>59.70999999999998</c:v>
              </c:pt>
              <c:pt idx="9">
                <c:v>58.879999999999995</c:v>
              </c:pt>
              <c:pt idx="10">
                <c:v>59.339999999999975</c:v>
              </c:pt>
              <c:pt idx="11">
                <c:v>58.180000000000007</c:v>
              </c:pt>
              <c:pt idx="12">
                <c:v>59</c:v>
              </c:pt>
              <c:pt idx="13">
                <c:v>57.319999999999993</c:v>
              </c:pt>
              <c:pt idx="14">
                <c:v>57.029999999999973</c:v>
              </c:pt>
              <c:pt idx="15">
                <c:v>56.870000000000005</c:v>
              </c:pt>
            </c:numLit>
          </c:val>
          <c:smooth val="0"/>
          <c:extLst>
            <c:ext xmlns:c16="http://schemas.microsoft.com/office/drawing/2014/chart" uri="{C3380CC4-5D6E-409C-BE32-E72D297353CC}">
              <c16:uniqueId val="{00000009-E137-4F2D-BFDB-F7447BEE6B4B}"/>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layout>
        <c:manualLayout>
          <c:xMode val="edge"/>
          <c:yMode val="edge"/>
          <c:x val="5.8667417385394549E-2"/>
          <c:y val="0.82029362531651906"/>
          <c:w val="0.89999994312736908"/>
          <c:h val="7.21835991660967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'26.01.20 보고자료'!$B$23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'26.01.20 보고자료'!$C$22:$F$22</c:f>
              <c:strCache>
                <c:ptCount val="4"/>
                <c:pt idx="0">
                  <c:v>1/5</c:v>
                </c:pt>
                <c:pt idx="1">
                  <c:v>1/12</c:v>
                </c:pt>
                <c:pt idx="2">
                  <c:v>1/16</c:v>
                </c:pt>
                <c:pt idx="3">
                  <c:v>This week assumption (JAN)</c:v>
                </c:pt>
              </c:strCache>
            </c:strRef>
          </c:cat>
          <c:val>
            <c:numRef>
              <c:f>'26.01.20 보고자료'!$C$23:$F$23</c:f>
              <c:numCache>
                <c:formatCode>General</c:formatCode>
                <c:ptCount val="4"/>
                <c:pt idx="0">
                  <c:v>20</c:v>
                </c:pt>
                <c:pt idx="1">
                  <c:v>45</c:v>
                </c:pt>
                <c:pt idx="2">
                  <c:v>70</c:v>
                </c:pt>
                <c:pt idx="3">
                  <c:v>65</c:v>
                </c:pt>
              </c:numCache>
            </c:numRef>
          </c:val>
          <c:smooth val="0"/>
          <c:extLst>
            <c:ext xmlns:c16="http://schemas.microsoft.com/office/drawing/2014/chart" uri="{C3380CC4-5D6E-409C-BE32-E72D297353CC}">
              <c16:uniqueId val="{00000000-1933-4AC6-B531-A36EAD1B2EC9}"/>
            </c:ext>
          </c:extLst>
        </c:ser>
        <c:ser>
          <c:idx val="1"/>
          <c:order val="1"/>
          <c:tx>
            <c:strRef>
              <c:f>'26.01.20 보고자료'!$B$24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'26.01.20 보고자료'!$C$22:$F$22</c:f>
              <c:strCache>
                <c:ptCount val="4"/>
                <c:pt idx="0">
                  <c:v>1/5</c:v>
                </c:pt>
                <c:pt idx="1">
                  <c:v>1/12</c:v>
                </c:pt>
                <c:pt idx="2">
                  <c:v>1/16</c:v>
                </c:pt>
                <c:pt idx="3">
                  <c:v>This week assumption (JAN)</c:v>
                </c:pt>
              </c:strCache>
            </c:strRef>
          </c:cat>
          <c:val>
            <c:numRef>
              <c:f>'26.01.20 보고자료'!$C$24:$F$24</c:f>
              <c:numCache>
                <c:formatCode>General</c:formatCode>
                <c:ptCount val="4"/>
                <c:pt idx="0">
                  <c:v>18</c:v>
                </c:pt>
                <c:pt idx="1">
                  <c:v>40</c:v>
                </c:pt>
                <c:pt idx="2">
                  <c:v>65</c:v>
                </c:pt>
                <c:pt idx="3">
                  <c:v>65</c:v>
                </c:pt>
              </c:numCache>
            </c:numRef>
          </c:val>
          <c:smooth val="0"/>
          <c:extLst>
            <c:ext xmlns:c16="http://schemas.microsoft.com/office/drawing/2014/chart" uri="{C3380CC4-5D6E-409C-BE32-E72D297353CC}">
              <c16:uniqueId val="{00000001-1933-4AC6-B531-A36EAD1B2EC9}"/>
            </c:ext>
          </c:extLst>
        </c:ser>
        <c:ser>
          <c:idx val="2"/>
          <c:order val="2"/>
          <c:tx>
            <c:strRef>
              <c:f>'26.01.20 보고자료'!$B$25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'26.01.20 보고자료'!$C$22:$F$22</c:f>
              <c:strCache>
                <c:ptCount val="4"/>
                <c:pt idx="0">
                  <c:v>1/5</c:v>
                </c:pt>
                <c:pt idx="1">
                  <c:v>1/12</c:v>
                </c:pt>
                <c:pt idx="2">
                  <c:v>1/16</c:v>
                </c:pt>
                <c:pt idx="3">
                  <c:v>This week assumption (JAN)</c:v>
                </c:pt>
              </c:strCache>
            </c:strRef>
          </c:cat>
          <c:val>
            <c:numRef>
              <c:f>'26.01.20 보고자료'!$C$25:$F$25</c:f>
              <c:numCache>
                <c:formatCode>General</c:formatCode>
                <c:ptCount val="4"/>
                <c:pt idx="0">
                  <c:v>18</c:v>
                </c:pt>
                <c:pt idx="1">
                  <c:v>50</c:v>
                </c:pt>
                <c:pt idx="2">
                  <c:v>75</c:v>
                </c:pt>
                <c:pt idx="3">
                  <c:v>65</c:v>
                </c:pt>
              </c:numCache>
            </c:numRef>
          </c:val>
          <c:smooth val="0"/>
          <c:extLst>
            <c:ext xmlns:c16="http://schemas.microsoft.com/office/drawing/2014/chart" uri="{C3380CC4-5D6E-409C-BE32-E72D297353CC}">
              <c16:uniqueId val="{00000002-1933-4AC6-B531-A36EAD1B2EC9}"/>
            </c:ext>
          </c:extLst>
        </c:ser>
        <c:ser>
          <c:idx val="3"/>
          <c:order val="3"/>
          <c:tx>
            <c:strRef>
              <c:f>'26.01.20 보고자료'!$B$26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'26.01.20 보고자료'!$C$22:$F$22</c:f>
              <c:strCache>
                <c:ptCount val="4"/>
                <c:pt idx="0">
                  <c:v>1/5</c:v>
                </c:pt>
                <c:pt idx="1">
                  <c:v>1/12</c:v>
                </c:pt>
                <c:pt idx="2">
                  <c:v>1/16</c:v>
                </c:pt>
                <c:pt idx="3">
                  <c:v>This week assumption (JAN)</c:v>
                </c:pt>
              </c:strCache>
            </c:strRef>
          </c:cat>
          <c:val>
            <c:numRef>
              <c:f>'26.01.20 보고자료'!$C$26:$F$26</c:f>
              <c:numCache>
                <c:formatCode>General</c:formatCode>
                <c:ptCount val="4"/>
                <c:pt idx="0">
                  <c:v>40</c:v>
                </c:pt>
                <c:pt idx="1">
                  <c:v>60</c:v>
                </c:pt>
                <c:pt idx="2">
                  <c:v>85</c:v>
                </c:pt>
                <c:pt idx="3">
                  <c:v>75</c:v>
                </c:pt>
              </c:numCache>
            </c:numRef>
          </c:val>
          <c:smooth val="0"/>
          <c:extLst>
            <c:ext xmlns:c16="http://schemas.microsoft.com/office/drawing/2014/chart" uri="{C3380CC4-5D6E-409C-BE32-E72D297353CC}">
              <c16:uniqueId val="{00000003-1933-4AC6-B531-A36EAD1B2EC9}"/>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'26.01.20 보고자료'!$O$23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'26.01.20 보고자료'!$P$22:$R$22</c:f>
              <c:numCache>
                <c:formatCode>m"/"d;@</c:formatCode>
                <c:ptCount val="3"/>
                <c:pt idx="0">
                  <c:v>46027</c:v>
                </c:pt>
                <c:pt idx="1">
                  <c:v>46034</c:v>
                </c:pt>
                <c:pt idx="2">
                  <c:v>46038</c:v>
                </c:pt>
              </c:numCache>
            </c:numRef>
          </c:cat>
          <c:val>
            <c:numRef>
              <c:f>'26.01.20 보고자료'!$P$23:$R$23</c:f>
              <c:numCache>
                <c:formatCode>General</c:formatCode>
                <c:ptCount val="3"/>
                <c:pt idx="0">
                  <c:v>440</c:v>
                </c:pt>
                <c:pt idx="1">
                  <c:v>455</c:v>
                </c:pt>
                <c:pt idx="2">
                  <c:v>505</c:v>
                </c:pt>
              </c:numCache>
            </c:numRef>
          </c:val>
          <c:smooth val="0"/>
          <c:extLst>
            <c:ext xmlns:c16="http://schemas.microsoft.com/office/drawing/2014/chart" uri="{C3380CC4-5D6E-409C-BE32-E72D297353CC}">
              <c16:uniqueId val="{00000000-A552-49A9-A012-398A0087D010}"/>
            </c:ext>
          </c:extLst>
        </c:ser>
        <c:ser>
          <c:idx val="1"/>
          <c:order val="1"/>
          <c:tx>
            <c:strRef>
              <c:f>'26.01.20 보고자료'!$O$24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'26.01.20 보고자료'!$P$22:$R$22</c:f>
              <c:numCache>
                <c:formatCode>m"/"d;@</c:formatCode>
                <c:ptCount val="3"/>
                <c:pt idx="0">
                  <c:v>46027</c:v>
                </c:pt>
                <c:pt idx="1">
                  <c:v>46034</c:v>
                </c:pt>
                <c:pt idx="2">
                  <c:v>46038</c:v>
                </c:pt>
              </c:numCache>
            </c:numRef>
          </c:cat>
          <c:val>
            <c:numRef>
              <c:f>'26.01.20 보고자료'!$P$24:$R$24</c:f>
              <c:numCache>
                <c:formatCode>General</c:formatCode>
                <c:ptCount val="3"/>
                <c:pt idx="0">
                  <c:v>425</c:v>
                </c:pt>
                <c:pt idx="1">
                  <c:v>429</c:v>
                </c:pt>
                <c:pt idx="2">
                  <c:v>445</c:v>
                </c:pt>
              </c:numCache>
            </c:numRef>
          </c:val>
          <c:smooth val="0"/>
          <c:extLst>
            <c:ext xmlns:c16="http://schemas.microsoft.com/office/drawing/2014/chart" uri="{C3380CC4-5D6E-409C-BE32-E72D297353CC}">
              <c16:uniqueId val="{00000001-A552-49A9-A012-398A0087D010}"/>
            </c:ext>
          </c:extLst>
        </c:ser>
        <c:ser>
          <c:idx val="2"/>
          <c:order val="2"/>
          <c:tx>
            <c:strRef>
              <c:f>'26.01.20 보고자료'!$O$25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'26.01.20 보고자료'!$P$22:$R$22</c:f>
              <c:numCache>
                <c:formatCode>m"/"d;@</c:formatCode>
                <c:ptCount val="3"/>
                <c:pt idx="0">
                  <c:v>46027</c:v>
                </c:pt>
                <c:pt idx="1">
                  <c:v>46034</c:v>
                </c:pt>
                <c:pt idx="2">
                  <c:v>46038</c:v>
                </c:pt>
              </c:numCache>
            </c:numRef>
          </c:cat>
          <c:val>
            <c:numRef>
              <c:f>'26.01.20 보고자료'!$P$25:$R$25</c:f>
              <c:numCache>
                <c:formatCode>General</c:formatCode>
                <c:ptCount val="3"/>
                <c:pt idx="0">
                  <c:v>479</c:v>
                </c:pt>
                <c:pt idx="1">
                  <c:v>510</c:v>
                </c:pt>
                <c:pt idx="2">
                  <c:v>540</c:v>
                </c:pt>
              </c:numCache>
            </c:numRef>
          </c:val>
          <c:smooth val="0"/>
          <c:extLst>
            <c:ext xmlns:c16="http://schemas.microsoft.com/office/drawing/2014/chart" uri="{C3380CC4-5D6E-409C-BE32-E72D297353CC}">
              <c16:uniqueId val="{00000002-A552-49A9-A012-398A0087D010}"/>
            </c:ext>
          </c:extLst>
        </c:ser>
        <c:ser>
          <c:idx val="3"/>
          <c:order val="3"/>
          <c:tx>
            <c:strRef>
              <c:f>'26.01.20 보고자료'!$O$26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'26.01.20 보고자료'!$P$22:$R$22</c:f>
              <c:numCache>
                <c:formatCode>m"/"d;@</c:formatCode>
                <c:ptCount val="3"/>
                <c:pt idx="0">
                  <c:v>46027</c:v>
                </c:pt>
                <c:pt idx="1">
                  <c:v>46034</c:v>
                </c:pt>
                <c:pt idx="2">
                  <c:v>46038</c:v>
                </c:pt>
              </c:numCache>
            </c:numRef>
          </c:cat>
          <c:val>
            <c:numRef>
              <c:f>'26.01.20 보고자료'!$P$26:$R$26</c:f>
              <c:numCache>
                <c:formatCode>General</c:formatCode>
                <c:ptCount val="3"/>
                <c:pt idx="0">
                  <c:v>450</c:v>
                </c:pt>
                <c:pt idx="1">
                  <c:v>445</c:v>
                </c:pt>
                <c:pt idx="2">
                  <c:v>460</c:v>
                </c:pt>
              </c:numCache>
            </c:numRef>
          </c:val>
          <c:smooth val="0"/>
          <c:extLst>
            <c:ext xmlns:c16="http://schemas.microsoft.com/office/drawing/2014/chart" uri="{C3380CC4-5D6E-409C-BE32-E72D297353CC}">
              <c16:uniqueId val="{00000003-A552-49A9-A012-398A0087D010}"/>
            </c:ext>
          </c:extLst>
        </c:ser>
        <c:ser>
          <c:idx val="4"/>
          <c:order val="4"/>
          <c:tx>
            <c:strRef>
              <c:f>'26.01.20 보고자료'!$O$27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'26.01.20 보고자료'!$P$22:$R$22</c:f>
              <c:numCache>
                <c:formatCode>m"/"d;@</c:formatCode>
                <c:ptCount val="3"/>
                <c:pt idx="0">
                  <c:v>46027</c:v>
                </c:pt>
                <c:pt idx="1">
                  <c:v>46034</c:v>
                </c:pt>
                <c:pt idx="2">
                  <c:v>46038</c:v>
                </c:pt>
              </c:numCache>
            </c:numRef>
          </c:cat>
          <c:val>
            <c:numRef>
              <c:f>'26.01.20 보고자료'!$P$27:$R$27</c:f>
              <c:numCache>
                <c:formatCode>General</c:formatCode>
                <c:ptCount val="3"/>
              </c:numCache>
            </c:numRef>
          </c:val>
          <c:smooth val="0"/>
          <c:extLst>
            <c:ext xmlns:c16="http://schemas.microsoft.com/office/drawing/2014/chart" uri="{C3380CC4-5D6E-409C-BE32-E72D297353CC}">
              <c16:uniqueId val="{00000004-A552-49A9-A012-398A0087D010}"/>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9.1556876250388095E-2"/>
          <c:y val="1.3485478921430528E-2"/>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6">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bg1">
                <a:lumMod val="5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270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95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rnd">
            <a:solidFill>
              <a:schemeClr val="accent6">
                <a:lumMod val="75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Avg.KR</c:v>
          </c:tx>
          <c:spPr>
            <a:ln w="28575" cap="rnd">
              <a:solidFill>
                <a:srgbClr val="C00000"/>
              </a:solidFill>
              <a:round/>
            </a:ln>
            <a:effectLst/>
          </c:spPr>
          <c:marker>
            <c:symbol val="none"/>
          </c:marker>
          <c:cat>
            <c:strLit>
              <c:ptCount val="8"/>
              <c:pt idx="0">
                <c:v>2026년 1월 1월2일</c:v>
              </c:pt>
              <c:pt idx="1">
                <c:v>2026년 1월 1월5일</c:v>
              </c:pt>
              <c:pt idx="2">
                <c:v>2026년 1월 1월6일</c:v>
              </c:pt>
              <c:pt idx="3">
                <c:v>2026년 1월 1월7일</c:v>
              </c:pt>
              <c:pt idx="4">
                <c:v>2026년 1월 1월8일</c:v>
              </c:pt>
              <c:pt idx="5">
                <c:v>2026년 1월 1월9일</c:v>
              </c:pt>
              <c:pt idx="6">
                <c:v>2026년 1월 1월12일</c:v>
              </c:pt>
              <c:pt idx="7">
                <c:v>2026년 1월 1월13일</c:v>
              </c:pt>
            </c:strLit>
          </c:cat>
          <c:val>
            <c:numLit>
              <c:formatCode>General</c:formatCode>
              <c:ptCount val="8"/>
              <c:pt idx="0">
                <c:v>26.220000000000027</c:v>
              </c:pt>
              <c:pt idx="1">
                <c:v>43.889999999999986</c:v>
              </c:pt>
              <c:pt idx="2">
                <c:v>24.060000000000002</c:v>
              </c:pt>
              <c:pt idx="3">
                <c:v>40.620000000000005</c:v>
              </c:pt>
              <c:pt idx="4">
                <c:v>53.329999999999984</c:v>
              </c:pt>
              <c:pt idx="5">
                <c:v>43.509999999999991</c:v>
              </c:pt>
              <c:pt idx="6">
                <c:v>40.629999999999995</c:v>
              </c:pt>
              <c:pt idx="7">
                <c:v>58.94</c:v>
              </c:pt>
            </c:numLit>
          </c:val>
          <c:smooth val="0"/>
          <c:extLst>
            <c:ext xmlns:c16="http://schemas.microsoft.com/office/drawing/2014/chart" uri="{C3380CC4-5D6E-409C-BE32-E72D297353CC}">
              <c16:uniqueId val="{00000000-0763-4563-BC51-D2B61970125D}"/>
            </c:ext>
          </c:extLst>
        </c:ser>
        <c:ser>
          <c:idx val="1"/>
          <c:order val="1"/>
          <c:tx>
            <c:v>Avg.SP</c:v>
          </c:tx>
          <c:spPr>
            <a:ln w="9525" cap="rnd">
              <a:solidFill>
                <a:schemeClr val="accent6">
                  <a:lumMod val="75000"/>
                </a:schemeClr>
              </a:solidFill>
              <a:round/>
            </a:ln>
            <a:effectLst/>
          </c:spPr>
          <c:marker>
            <c:symbol val="none"/>
          </c:marker>
          <c:cat>
            <c:strLit>
              <c:ptCount val="8"/>
              <c:pt idx="0">
                <c:v>2026년 1월 1월2일</c:v>
              </c:pt>
              <c:pt idx="1">
                <c:v>2026년 1월 1월5일</c:v>
              </c:pt>
              <c:pt idx="2">
                <c:v>2026년 1월 1월6일</c:v>
              </c:pt>
              <c:pt idx="3">
                <c:v>2026년 1월 1월7일</c:v>
              </c:pt>
              <c:pt idx="4">
                <c:v>2026년 1월 1월8일</c:v>
              </c:pt>
              <c:pt idx="5">
                <c:v>2026년 1월 1월9일</c:v>
              </c:pt>
              <c:pt idx="6">
                <c:v>2026년 1월 1월12일</c:v>
              </c:pt>
              <c:pt idx="7">
                <c:v>2026년 1월 1월13일</c:v>
              </c:pt>
            </c:strLit>
          </c:cat>
          <c:val>
            <c:numLit>
              <c:formatCode>General</c:formatCode>
              <c:ptCount val="8"/>
              <c:pt idx="0">
                <c:v>14.220000000000027</c:v>
              </c:pt>
              <c:pt idx="1">
                <c:v>11.639999999999986</c:v>
              </c:pt>
              <c:pt idx="2">
                <c:v>12.060000000000002</c:v>
              </c:pt>
              <c:pt idx="3">
                <c:v>13.120000000000005</c:v>
              </c:pt>
              <c:pt idx="4">
                <c:v>13.079999999999984</c:v>
              </c:pt>
              <c:pt idx="5">
                <c:v>13.509999999999991</c:v>
              </c:pt>
              <c:pt idx="6">
                <c:v>12.629999999999995</c:v>
              </c:pt>
              <c:pt idx="7">
                <c:v>13.439999999999998</c:v>
              </c:pt>
            </c:numLit>
          </c:val>
          <c:smooth val="0"/>
          <c:extLst>
            <c:ext xmlns:c16="http://schemas.microsoft.com/office/drawing/2014/chart" uri="{C3380CC4-5D6E-409C-BE32-E72D297353CC}">
              <c16:uniqueId val="{00000001-0763-4563-BC51-D2B61970125D}"/>
            </c:ext>
          </c:extLst>
        </c:ser>
        <c:ser>
          <c:idx val="2"/>
          <c:order val="2"/>
          <c:tx>
            <c:v>Avg.ZS</c:v>
          </c:tx>
          <c:spPr>
            <a:ln w="9525" cap="rnd">
              <a:solidFill>
                <a:schemeClr val="accent1">
                  <a:lumMod val="75000"/>
                </a:schemeClr>
              </a:solidFill>
              <a:round/>
            </a:ln>
            <a:effectLst/>
          </c:spPr>
          <c:marker>
            <c:symbol val="none"/>
          </c:marker>
          <c:cat>
            <c:strLit>
              <c:ptCount val="8"/>
              <c:pt idx="0">
                <c:v>2026년 1월 1월2일</c:v>
              </c:pt>
              <c:pt idx="1">
                <c:v>2026년 1월 1월5일</c:v>
              </c:pt>
              <c:pt idx="2">
                <c:v>2026년 1월 1월6일</c:v>
              </c:pt>
              <c:pt idx="3">
                <c:v>2026년 1월 1월7일</c:v>
              </c:pt>
              <c:pt idx="4">
                <c:v>2026년 1월 1월8일</c:v>
              </c:pt>
              <c:pt idx="5">
                <c:v>2026년 1월 1월9일</c:v>
              </c:pt>
              <c:pt idx="6">
                <c:v>2026년 1월 1월12일</c:v>
              </c:pt>
              <c:pt idx="7">
                <c:v>2026년 1월 1월13일</c:v>
              </c:pt>
            </c:strLit>
          </c:cat>
          <c:val>
            <c:numLit>
              <c:formatCode>General</c:formatCode>
              <c:ptCount val="8"/>
              <c:pt idx="0">
                <c:v>41.220000000000027</c:v>
              </c:pt>
              <c:pt idx="1">
                <c:v>36.639999999999986</c:v>
              </c:pt>
              <c:pt idx="2">
                <c:v>37.06</c:v>
              </c:pt>
              <c:pt idx="3">
                <c:v>35.120000000000005</c:v>
              </c:pt>
              <c:pt idx="4">
                <c:v>38.079999999999984</c:v>
              </c:pt>
              <c:pt idx="5">
                <c:v>35.509999999999991</c:v>
              </c:pt>
              <c:pt idx="6">
                <c:v>32.629999999999995</c:v>
              </c:pt>
              <c:pt idx="7">
                <c:v>28.439999999999998</c:v>
              </c:pt>
            </c:numLit>
          </c:val>
          <c:smooth val="0"/>
          <c:extLst>
            <c:ext xmlns:c16="http://schemas.microsoft.com/office/drawing/2014/chart" uri="{C3380CC4-5D6E-409C-BE32-E72D297353CC}">
              <c16:uniqueId val="{00000002-0763-4563-BC51-D2B61970125D}"/>
            </c:ext>
          </c:extLst>
        </c:ser>
        <c:ser>
          <c:idx val="3"/>
          <c:order val="3"/>
          <c:tx>
            <c:v>Avg.KR '25 25%</c:v>
          </c:tx>
          <c:spPr>
            <a:ln w="12700" cap="rnd">
              <a:solidFill>
                <a:srgbClr val="C00000"/>
              </a:solidFill>
              <a:prstDash val="dash"/>
              <a:round/>
            </a:ln>
            <a:effectLst/>
          </c:spPr>
          <c:marker>
            <c:symbol val="none"/>
          </c:marker>
          <c:cat>
            <c:strLit>
              <c:ptCount val="8"/>
              <c:pt idx="0">
                <c:v>2026년 1월 1월2일</c:v>
              </c:pt>
              <c:pt idx="1">
                <c:v>2026년 1월 1월5일</c:v>
              </c:pt>
              <c:pt idx="2">
                <c:v>2026년 1월 1월6일</c:v>
              </c:pt>
              <c:pt idx="3">
                <c:v>2026년 1월 1월7일</c:v>
              </c:pt>
              <c:pt idx="4">
                <c:v>2026년 1월 1월8일</c:v>
              </c:pt>
              <c:pt idx="5">
                <c:v>2026년 1월 1월9일</c:v>
              </c:pt>
              <c:pt idx="6">
                <c:v>2026년 1월 1월12일</c:v>
              </c:pt>
              <c:pt idx="7">
                <c:v>2026년 1월 1월13일</c:v>
              </c:pt>
            </c:strLit>
          </c:cat>
          <c:val>
            <c:numLit>
              <c:formatCode>General</c:formatCode>
              <c:ptCount val="8"/>
              <c:pt idx="0">
                <c:v>23.747500000000002</c:v>
              </c:pt>
              <c:pt idx="1">
                <c:v>23.747500000000002</c:v>
              </c:pt>
              <c:pt idx="2">
                <c:v>23.747500000000002</c:v>
              </c:pt>
              <c:pt idx="3">
                <c:v>23.747500000000002</c:v>
              </c:pt>
              <c:pt idx="4">
                <c:v>23.747500000000002</c:v>
              </c:pt>
              <c:pt idx="5">
                <c:v>23.747500000000002</c:v>
              </c:pt>
              <c:pt idx="6">
                <c:v>23.747500000000002</c:v>
              </c:pt>
              <c:pt idx="7">
                <c:v>23.747500000000002</c:v>
              </c:pt>
            </c:numLit>
          </c:val>
          <c:smooth val="0"/>
          <c:extLst>
            <c:ext xmlns:c16="http://schemas.microsoft.com/office/drawing/2014/chart" uri="{C3380CC4-5D6E-409C-BE32-E72D297353CC}">
              <c16:uniqueId val="{00000003-0763-4563-BC51-D2B61970125D}"/>
            </c:ext>
          </c:extLst>
        </c:ser>
        <c:ser>
          <c:idx val="4"/>
          <c:order val="4"/>
          <c:tx>
            <c:v>Avg.KR '25 75%</c:v>
          </c:tx>
          <c:spPr>
            <a:ln w="12700" cap="rnd">
              <a:solidFill>
                <a:srgbClr val="C00000"/>
              </a:solidFill>
              <a:prstDash val="dash"/>
              <a:round/>
            </a:ln>
            <a:effectLst/>
          </c:spPr>
          <c:marker>
            <c:symbol val="none"/>
          </c:marker>
          <c:cat>
            <c:strLit>
              <c:ptCount val="8"/>
              <c:pt idx="0">
                <c:v>2026년 1월 1월2일</c:v>
              </c:pt>
              <c:pt idx="1">
                <c:v>2026년 1월 1월5일</c:v>
              </c:pt>
              <c:pt idx="2">
                <c:v>2026년 1월 1월6일</c:v>
              </c:pt>
              <c:pt idx="3">
                <c:v>2026년 1월 1월7일</c:v>
              </c:pt>
              <c:pt idx="4">
                <c:v>2026년 1월 1월8일</c:v>
              </c:pt>
              <c:pt idx="5">
                <c:v>2026년 1월 1월9일</c:v>
              </c:pt>
              <c:pt idx="6">
                <c:v>2026년 1월 1월12일</c:v>
              </c:pt>
              <c:pt idx="7">
                <c:v>2026년 1월 1월13일</c:v>
              </c:pt>
            </c:strLit>
          </c:cat>
          <c:val>
            <c:numLit>
              <c:formatCode>General</c:formatCode>
              <c:ptCount val="8"/>
              <c:pt idx="0">
                <c:v>51.122500000000002</c:v>
              </c:pt>
              <c:pt idx="1">
                <c:v>51.122500000000002</c:v>
              </c:pt>
              <c:pt idx="2">
                <c:v>51.122500000000002</c:v>
              </c:pt>
              <c:pt idx="3">
                <c:v>51.122500000000002</c:v>
              </c:pt>
              <c:pt idx="4">
                <c:v>51.122500000000002</c:v>
              </c:pt>
              <c:pt idx="5">
                <c:v>51.122500000000002</c:v>
              </c:pt>
              <c:pt idx="6">
                <c:v>51.122500000000002</c:v>
              </c:pt>
              <c:pt idx="7">
                <c:v>51.122500000000002</c:v>
              </c:pt>
            </c:numLit>
          </c:val>
          <c:smooth val="0"/>
          <c:extLst>
            <c:ext xmlns:c16="http://schemas.microsoft.com/office/drawing/2014/chart" uri="{C3380CC4-5D6E-409C-BE32-E72D297353CC}">
              <c16:uniqueId val="{00000004-0763-4563-BC51-D2B61970125D}"/>
            </c:ext>
          </c:extLst>
        </c:ser>
        <c:ser>
          <c:idx val="5"/>
          <c:order val="5"/>
          <c:tx>
            <c:v>Avg.SP '25 25%</c:v>
          </c:tx>
          <c:spPr>
            <a:ln w="9525" cap="rnd">
              <a:solidFill>
                <a:schemeClr val="accent6">
                  <a:lumMod val="75000"/>
                </a:schemeClr>
              </a:solidFill>
              <a:prstDash val="sysDash"/>
              <a:round/>
            </a:ln>
            <a:effectLst/>
          </c:spPr>
          <c:marker>
            <c:symbol val="none"/>
          </c:marker>
          <c:cat>
            <c:strLit>
              <c:ptCount val="8"/>
              <c:pt idx="0">
                <c:v>2026년 1월 1월2일</c:v>
              </c:pt>
              <c:pt idx="1">
                <c:v>2026년 1월 1월5일</c:v>
              </c:pt>
              <c:pt idx="2">
                <c:v>2026년 1월 1월6일</c:v>
              </c:pt>
              <c:pt idx="3">
                <c:v>2026년 1월 1월7일</c:v>
              </c:pt>
              <c:pt idx="4">
                <c:v>2026년 1월 1월8일</c:v>
              </c:pt>
              <c:pt idx="5">
                <c:v>2026년 1월 1월9일</c:v>
              </c:pt>
              <c:pt idx="6">
                <c:v>2026년 1월 1월12일</c:v>
              </c:pt>
              <c:pt idx="7">
                <c:v>2026년 1월 1월13일</c:v>
              </c:pt>
            </c:strLit>
          </c:cat>
          <c:val>
            <c:numLit>
              <c:formatCode>General</c:formatCode>
              <c:ptCount val="8"/>
              <c:pt idx="0">
                <c:v>10.920000000000016</c:v>
              </c:pt>
              <c:pt idx="1">
                <c:v>10.920000000000016</c:v>
              </c:pt>
              <c:pt idx="2">
                <c:v>10.920000000000016</c:v>
              </c:pt>
              <c:pt idx="3">
                <c:v>10.920000000000016</c:v>
              </c:pt>
              <c:pt idx="4">
                <c:v>10.920000000000016</c:v>
              </c:pt>
              <c:pt idx="5">
                <c:v>10.920000000000016</c:v>
              </c:pt>
              <c:pt idx="6">
                <c:v>10.920000000000016</c:v>
              </c:pt>
              <c:pt idx="7">
                <c:v>10.920000000000016</c:v>
              </c:pt>
            </c:numLit>
          </c:val>
          <c:smooth val="0"/>
          <c:extLst>
            <c:ext xmlns:c16="http://schemas.microsoft.com/office/drawing/2014/chart" uri="{C3380CC4-5D6E-409C-BE32-E72D297353CC}">
              <c16:uniqueId val="{00000005-0763-4563-BC51-D2B61970125D}"/>
            </c:ext>
          </c:extLst>
        </c:ser>
        <c:ser>
          <c:idx val="6"/>
          <c:order val="6"/>
          <c:tx>
            <c:v>Avg.SP '25 75%</c:v>
          </c:tx>
          <c:spPr>
            <a:ln w="9525" cap="rnd">
              <a:solidFill>
                <a:schemeClr val="accent6">
                  <a:lumMod val="75000"/>
                </a:schemeClr>
              </a:solidFill>
              <a:prstDash val="sysDash"/>
              <a:round/>
            </a:ln>
            <a:effectLst/>
          </c:spPr>
          <c:marker>
            <c:symbol val="none"/>
          </c:marker>
          <c:cat>
            <c:strLit>
              <c:ptCount val="8"/>
              <c:pt idx="0">
                <c:v>2026년 1월 1월2일</c:v>
              </c:pt>
              <c:pt idx="1">
                <c:v>2026년 1월 1월5일</c:v>
              </c:pt>
              <c:pt idx="2">
                <c:v>2026년 1월 1월6일</c:v>
              </c:pt>
              <c:pt idx="3">
                <c:v>2026년 1월 1월7일</c:v>
              </c:pt>
              <c:pt idx="4">
                <c:v>2026년 1월 1월8일</c:v>
              </c:pt>
              <c:pt idx="5">
                <c:v>2026년 1월 1월9일</c:v>
              </c:pt>
              <c:pt idx="6">
                <c:v>2026년 1월 1월12일</c:v>
              </c:pt>
              <c:pt idx="7">
                <c:v>2026년 1월 1월13일</c:v>
              </c:pt>
            </c:strLit>
          </c:cat>
          <c:val>
            <c:numLit>
              <c:formatCode>General</c:formatCode>
              <c:ptCount val="8"/>
              <c:pt idx="0">
                <c:v>13.480000000000018</c:v>
              </c:pt>
              <c:pt idx="1">
                <c:v>13.480000000000018</c:v>
              </c:pt>
              <c:pt idx="2">
                <c:v>13.480000000000018</c:v>
              </c:pt>
              <c:pt idx="3">
                <c:v>13.480000000000018</c:v>
              </c:pt>
              <c:pt idx="4">
                <c:v>13.480000000000018</c:v>
              </c:pt>
              <c:pt idx="5">
                <c:v>13.480000000000018</c:v>
              </c:pt>
              <c:pt idx="6">
                <c:v>13.480000000000018</c:v>
              </c:pt>
              <c:pt idx="7">
                <c:v>13.480000000000018</c:v>
              </c:pt>
            </c:numLit>
          </c:val>
          <c:smooth val="0"/>
          <c:extLst>
            <c:ext xmlns:c16="http://schemas.microsoft.com/office/drawing/2014/chart" uri="{C3380CC4-5D6E-409C-BE32-E72D297353CC}">
              <c16:uniqueId val="{00000006-0763-4563-BC51-D2B61970125D}"/>
            </c:ext>
          </c:extLst>
        </c:ser>
        <c:dLbls>
          <c:showLegendKey val="0"/>
          <c:showVal val="0"/>
          <c:showCatName val="0"/>
          <c:showSerName val="0"/>
          <c:showPercent val="0"/>
          <c:showBubbleSize val="0"/>
        </c:dLbls>
        <c:smooth val="0"/>
        <c:axId val="101607615"/>
        <c:axId val="101608095"/>
      </c:lineChart>
      <c:catAx>
        <c:axId val="10160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8095"/>
        <c:crosses val="autoZero"/>
        <c:auto val="0"/>
        <c:lblAlgn val="ctr"/>
        <c:lblOffset val="100"/>
        <c:noMultiLvlLbl val="0"/>
      </c:catAx>
      <c:valAx>
        <c:axId val="1016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1607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'26.01.13 보고자료'!$B$23</c:f>
              <c:strCache>
                <c:ptCount val="1"/>
                <c:pt idx="0">
                  <c:v>HyunDai</c:v>
                </c:pt>
              </c:strCache>
            </c:strRef>
          </c:tx>
          <c:spPr>
            <a:ln w="28575" cap="rnd">
              <a:solidFill>
                <a:srgbClr val="0070C0">
                  <a:alpha val="99000"/>
                </a:srgbClr>
              </a:solidFill>
              <a:bevel/>
            </a:ln>
            <a:effectLst/>
          </c:spPr>
          <c:marker>
            <c:symbol val="diamond"/>
            <c:size val="6"/>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'26.01.13 보고자료'!$C$22:$F$22</c:f>
              <c:strCache>
                <c:ptCount val="4"/>
                <c:pt idx="0">
                  <c:v>12/29</c:v>
                </c:pt>
                <c:pt idx="1">
                  <c:v>1/5</c:v>
                </c:pt>
                <c:pt idx="2">
                  <c:v>1/12</c:v>
                </c:pt>
                <c:pt idx="3">
                  <c:v>This week assumption (JAN)</c:v>
                </c:pt>
              </c:strCache>
            </c:strRef>
          </c:cat>
          <c:val>
            <c:numRef>
              <c:f>'26.01.13 보고자료'!$C$23:$F$23</c:f>
              <c:numCache>
                <c:formatCode>General</c:formatCode>
                <c:ptCount val="4"/>
                <c:pt idx="0">
                  <c:v>10</c:v>
                </c:pt>
                <c:pt idx="1">
                  <c:v>20</c:v>
                </c:pt>
                <c:pt idx="2">
                  <c:v>45</c:v>
                </c:pt>
                <c:pt idx="3">
                  <c:v>40</c:v>
                </c:pt>
              </c:numCache>
            </c:numRef>
          </c:val>
          <c:smooth val="0"/>
          <c:extLst>
            <c:ext xmlns:c16="http://schemas.microsoft.com/office/drawing/2014/chart" uri="{C3380CC4-5D6E-409C-BE32-E72D297353CC}">
              <c16:uniqueId val="{00000000-BB3A-44A5-944E-A81B6B2E95B4}"/>
            </c:ext>
          </c:extLst>
        </c:ser>
        <c:ser>
          <c:idx val="1"/>
          <c:order val="1"/>
          <c:tx>
            <c:strRef>
              <c:f>'26.01.13 보고자료'!$B$24</c:f>
              <c:strCache>
                <c:ptCount val="1"/>
                <c:pt idx="0">
                  <c:v>SK</c:v>
                </c:pt>
              </c:strCache>
            </c:strRef>
          </c:tx>
          <c:spPr>
            <a:ln w="28575" cap="rnd">
              <a:solidFill>
                <a:srgbClr val="C00000"/>
              </a:solidFill>
              <a:round/>
            </a:ln>
            <a:effectLst/>
          </c:spPr>
          <c:marker>
            <c:symbol val="x"/>
            <c:size val="6"/>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'26.01.13 보고자료'!$C$22:$F$22</c:f>
              <c:strCache>
                <c:ptCount val="4"/>
                <c:pt idx="0">
                  <c:v>12/29</c:v>
                </c:pt>
                <c:pt idx="1">
                  <c:v>1/5</c:v>
                </c:pt>
                <c:pt idx="2">
                  <c:v>1/12</c:v>
                </c:pt>
                <c:pt idx="3">
                  <c:v>This week assumption (JAN)</c:v>
                </c:pt>
              </c:strCache>
            </c:strRef>
          </c:cat>
          <c:val>
            <c:numRef>
              <c:f>'26.01.13 보고자료'!$C$24:$F$24</c:f>
              <c:numCache>
                <c:formatCode>General</c:formatCode>
                <c:ptCount val="4"/>
                <c:pt idx="0">
                  <c:v>15</c:v>
                </c:pt>
                <c:pt idx="1">
                  <c:v>18</c:v>
                </c:pt>
                <c:pt idx="2">
                  <c:v>40</c:v>
                </c:pt>
                <c:pt idx="3">
                  <c:v>40</c:v>
                </c:pt>
              </c:numCache>
            </c:numRef>
          </c:val>
          <c:smooth val="0"/>
          <c:extLst>
            <c:ext xmlns:c16="http://schemas.microsoft.com/office/drawing/2014/chart" uri="{C3380CC4-5D6E-409C-BE32-E72D297353CC}">
              <c16:uniqueId val="{00000001-BB3A-44A5-944E-A81B6B2E95B4}"/>
            </c:ext>
          </c:extLst>
        </c:ser>
        <c:ser>
          <c:idx val="2"/>
          <c:order val="2"/>
          <c:tx>
            <c:strRef>
              <c:f>'26.01.13 보고자료'!$B$25</c:f>
              <c:strCache>
                <c:ptCount val="1"/>
                <c:pt idx="0">
                  <c:v>SOIL</c:v>
                </c:pt>
              </c:strCache>
            </c:strRef>
          </c:tx>
          <c:spPr>
            <a:ln w="28575" cap="rnd">
              <a:solidFill>
                <a:srgbClr val="FFCC00"/>
              </a:solidFill>
              <a:round/>
            </a:ln>
            <a:effectLst/>
          </c:spPr>
          <c:marker>
            <c:symbol val="circle"/>
            <c:size val="6"/>
            <c:spPr>
              <a:solidFill>
                <a:srgbClr val="FFCC00"/>
              </a:solidFill>
              <a:ln w="9525">
                <a:solidFill>
                  <a:srgbClr val="FFCC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'26.01.13 보고자료'!$C$22:$F$22</c:f>
              <c:strCache>
                <c:ptCount val="4"/>
                <c:pt idx="0">
                  <c:v>12/29</c:v>
                </c:pt>
                <c:pt idx="1">
                  <c:v>1/5</c:v>
                </c:pt>
                <c:pt idx="2">
                  <c:v>1/12</c:v>
                </c:pt>
                <c:pt idx="3">
                  <c:v>This week assumption (JAN)</c:v>
                </c:pt>
              </c:strCache>
            </c:strRef>
          </c:cat>
          <c:val>
            <c:numRef>
              <c:f>'26.01.13 보고자료'!$C$25:$F$25</c:f>
              <c:numCache>
                <c:formatCode>General</c:formatCode>
                <c:ptCount val="4"/>
                <c:pt idx="0">
                  <c:v>13</c:v>
                </c:pt>
                <c:pt idx="1">
                  <c:v>18</c:v>
                </c:pt>
                <c:pt idx="2">
                  <c:v>50</c:v>
                </c:pt>
                <c:pt idx="3">
                  <c:v>40</c:v>
                </c:pt>
              </c:numCache>
            </c:numRef>
          </c:val>
          <c:smooth val="0"/>
          <c:extLst>
            <c:ext xmlns:c16="http://schemas.microsoft.com/office/drawing/2014/chart" uri="{C3380CC4-5D6E-409C-BE32-E72D297353CC}">
              <c16:uniqueId val="{00000002-BB3A-44A5-944E-A81B6B2E95B4}"/>
            </c:ext>
          </c:extLst>
        </c:ser>
        <c:ser>
          <c:idx val="3"/>
          <c:order val="3"/>
          <c:tx>
            <c:strRef>
              <c:f>'26.01.13 보고자료'!$B$26</c:f>
              <c:strCache>
                <c:ptCount val="1"/>
                <c:pt idx="0">
                  <c:v>GS</c:v>
                </c:pt>
              </c:strCache>
            </c:strRef>
          </c:tx>
          <c:spPr>
            <a:ln w="28575" cap="rnd">
              <a:solidFill>
                <a:srgbClr val="2E631B"/>
              </a:solidFill>
              <a:round/>
            </a:ln>
            <a:effectLst/>
          </c:spPr>
          <c:marker>
            <c:symbol val="triangle"/>
            <c:size val="6"/>
            <c:spPr>
              <a:solidFill>
                <a:schemeClr val="accent6">
                  <a:lumMod val="50000"/>
                </a:schemeClr>
              </a:solidFill>
              <a:ln w="9525">
                <a:solidFill>
                  <a:srgbClr val="2E631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'26.01.13 보고자료'!$C$22:$F$22</c:f>
              <c:strCache>
                <c:ptCount val="4"/>
                <c:pt idx="0">
                  <c:v>12/29</c:v>
                </c:pt>
                <c:pt idx="1">
                  <c:v>1/5</c:v>
                </c:pt>
                <c:pt idx="2">
                  <c:v>1/12</c:v>
                </c:pt>
                <c:pt idx="3">
                  <c:v>This week assumption (JAN)</c:v>
                </c:pt>
              </c:strCache>
            </c:strRef>
          </c:cat>
          <c:val>
            <c:numRef>
              <c:f>'26.01.13 보고자료'!$C$26:$F$26</c:f>
              <c:numCache>
                <c:formatCode>General</c:formatCode>
                <c:ptCount val="4"/>
                <c:pt idx="0">
                  <c:v>30</c:v>
                </c:pt>
                <c:pt idx="1">
                  <c:v>40</c:v>
                </c:pt>
                <c:pt idx="2">
                  <c:v>60</c:v>
                </c:pt>
                <c:pt idx="3">
                  <c:v>50</c:v>
                </c:pt>
              </c:numCache>
            </c:numRef>
          </c:val>
          <c:smooth val="0"/>
          <c:extLst>
            <c:ext xmlns:c16="http://schemas.microsoft.com/office/drawing/2014/chart" uri="{C3380CC4-5D6E-409C-BE32-E72D297353CC}">
              <c16:uniqueId val="{00000003-BB3A-44A5-944E-A81B6B2E95B4}"/>
            </c:ext>
          </c:extLst>
        </c:ser>
        <c:dLbls>
          <c:showLegendKey val="0"/>
          <c:showVal val="0"/>
          <c:showCatName val="0"/>
          <c:showSerName val="0"/>
          <c:showPercent val="0"/>
          <c:showBubbleSize val="0"/>
        </c:dLbls>
        <c:marker val="1"/>
        <c:smooth val="0"/>
        <c:axId val="1211815280"/>
        <c:axId val="1211810000"/>
      </c:lineChart>
      <c:catAx>
        <c:axId val="121181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ko-KR"/>
          </a:p>
        </c:txPr>
        <c:crossAx val="1211810000"/>
        <c:crosses val="autoZero"/>
        <c:auto val="1"/>
        <c:lblAlgn val="ctr"/>
        <c:lblOffset val="100"/>
        <c:noMultiLvlLbl val="0"/>
      </c:catAx>
      <c:valAx>
        <c:axId val="121181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ko-KR"/>
          </a:p>
        </c:txPr>
        <c:crossAx val="1211815280"/>
        <c:crosses val="autoZero"/>
        <c:crossBetween val="between"/>
      </c:valAx>
      <c:spPr>
        <a:noFill/>
        <a:ln>
          <a:noFill/>
        </a:ln>
        <a:effectLst/>
      </c:spPr>
    </c:plotArea>
    <c:legend>
      <c:legendPos val="t"/>
      <c:layout>
        <c:manualLayout>
          <c:xMode val="edge"/>
          <c:yMode val="edge"/>
          <c:x val="0.24399660103703544"/>
          <c:y val="1.7709744263855666E-2"/>
          <c:w val="0.51579188475238447"/>
          <c:h val="4.980900435910713E-2"/>
        </c:manualLayout>
      </c:layout>
      <c:overlay val="1"/>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'26.01.13 보고자료'!$O$23</c:f>
              <c:strCache>
                <c:ptCount val="1"/>
                <c:pt idx="0">
                  <c:v>Korea-South</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'26.01.13 보고자료'!$P$22:$R$22</c:f>
              <c:numCache>
                <c:formatCode>m"/"d;@</c:formatCode>
                <c:ptCount val="3"/>
                <c:pt idx="0">
                  <c:v>46020</c:v>
                </c:pt>
                <c:pt idx="1">
                  <c:v>46027</c:v>
                </c:pt>
                <c:pt idx="2">
                  <c:v>46034</c:v>
                </c:pt>
              </c:numCache>
            </c:numRef>
          </c:cat>
          <c:val>
            <c:numRef>
              <c:f>'26.01.13 보고자료'!$P$23:$R$23</c:f>
              <c:numCache>
                <c:formatCode>General</c:formatCode>
                <c:ptCount val="3"/>
                <c:pt idx="0">
                  <c:v>433</c:v>
                </c:pt>
                <c:pt idx="1">
                  <c:v>440</c:v>
                </c:pt>
                <c:pt idx="2">
                  <c:v>455</c:v>
                </c:pt>
              </c:numCache>
            </c:numRef>
          </c:val>
          <c:smooth val="0"/>
          <c:extLst>
            <c:ext xmlns:c16="http://schemas.microsoft.com/office/drawing/2014/chart" uri="{C3380CC4-5D6E-409C-BE32-E72D297353CC}">
              <c16:uniqueId val="{00000000-3DA2-4E9B-BFFB-4EC1B9A758CD}"/>
            </c:ext>
          </c:extLst>
        </c:ser>
        <c:ser>
          <c:idx val="1"/>
          <c:order val="1"/>
          <c:tx>
            <c:strRef>
              <c:f>'26.01.13 보고자료'!$O$24</c:f>
              <c:strCache>
                <c:ptCount val="1"/>
                <c:pt idx="0">
                  <c:v>Singapore</c:v>
                </c:pt>
              </c:strCache>
            </c:strRef>
          </c:tx>
          <c:spPr>
            <a:ln w="28575" cap="rnd">
              <a:solidFill>
                <a:srgbClr val="00B050"/>
              </a:solidFill>
              <a:round/>
            </a:ln>
            <a:effectLst/>
          </c:spPr>
          <c:marker>
            <c:symbol val="circle"/>
            <c:size val="5"/>
            <c:spPr>
              <a:solidFill>
                <a:srgbClr val="00B0F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'26.01.13 보고자료'!$P$22:$R$22</c:f>
              <c:numCache>
                <c:formatCode>m"/"d;@</c:formatCode>
                <c:ptCount val="3"/>
                <c:pt idx="0">
                  <c:v>46020</c:v>
                </c:pt>
                <c:pt idx="1">
                  <c:v>46027</c:v>
                </c:pt>
                <c:pt idx="2">
                  <c:v>46034</c:v>
                </c:pt>
              </c:numCache>
            </c:numRef>
          </c:cat>
          <c:val>
            <c:numRef>
              <c:f>'26.01.13 보고자료'!$P$24:$R$24</c:f>
              <c:numCache>
                <c:formatCode>General</c:formatCode>
                <c:ptCount val="3"/>
                <c:pt idx="0">
                  <c:v>433</c:v>
                </c:pt>
                <c:pt idx="1">
                  <c:v>425</c:v>
                </c:pt>
                <c:pt idx="2">
                  <c:v>429</c:v>
                </c:pt>
              </c:numCache>
            </c:numRef>
          </c:val>
          <c:smooth val="0"/>
          <c:extLst>
            <c:ext xmlns:c16="http://schemas.microsoft.com/office/drawing/2014/chart" uri="{C3380CC4-5D6E-409C-BE32-E72D297353CC}">
              <c16:uniqueId val="{00000001-3DA2-4E9B-BFFB-4EC1B9A758CD}"/>
            </c:ext>
          </c:extLst>
        </c:ser>
        <c:ser>
          <c:idx val="2"/>
          <c:order val="2"/>
          <c:tx>
            <c:strRef>
              <c:f>'26.01.13 보고자료'!$O$25</c:f>
              <c:strCache>
                <c:ptCount val="1"/>
                <c:pt idx="0">
                  <c:v>Nagoya</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1">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'26.01.13 보고자료'!$P$22:$R$22</c:f>
              <c:numCache>
                <c:formatCode>m"/"d;@</c:formatCode>
                <c:ptCount val="3"/>
                <c:pt idx="0">
                  <c:v>46020</c:v>
                </c:pt>
                <c:pt idx="1">
                  <c:v>46027</c:v>
                </c:pt>
                <c:pt idx="2">
                  <c:v>46034</c:v>
                </c:pt>
              </c:numCache>
            </c:numRef>
          </c:cat>
          <c:val>
            <c:numRef>
              <c:f>'26.01.13 보고자료'!$P$25:$R$25</c:f>
              <c:numCache>
                <c:formatCode>General</c:formatCode>
                <c:ptCount val="3"/>
                <c:pt idx="0">
                  <c:v>479</c:v>
                </c:pt>
                <c:pt idx="1">
                  <c:v>479</c:v>
                </c:pt>
                <c:pt idx="2">
                  <c:v>510</c:v>
                </c:pt>
              </c:numCache>
            </c:numRef>
          </c:val>
          <c:smooth val="0"/>
          <c:extLst>
            <c:ext xmlns:c16="http://schemas.microsoft.com/office/drawing/2014/chart" uri="{C3380CC4-5D6E-409C-BE32-E72D297353CC}">
              <c16:uniqueId val="{00000002-3DA2-4E9B-BFFB-4EC1B9A758CD}"/>
            </c:ext>
          </c:extLst>
        </c:ser>
        <c:ser>
          <c:idx val="3"/>
          <c:order val="3"/>
          <c:tx>
            <c:strRef>
              <c:f>'26.01.13 보고자료'!$O$26</c:f>
              <c:strCache>
                <c:ptCount val="1"/>
                <c:pt idx="0">
                  <c:v>Zhoushan</c:v>
                </c:pt>
              </c:strCache>
            </c:strRef>
          </c:tx>
          <c:spPr>
            <a:ln w="28575" cap="rnd">
              <a:solidFill>
                <a:srgbClr val="C00000"/>
              </a:solidFill>
              <a:round/>
            </a:ln>
            <a:effectLst/>
          </c:spPr>
          <c:marker>
            <c:symbol val="circle"/>
            <c:size val="5"/>
            <c:spPr>
              <a:solidFill>
                <a:srgbClr val="CC33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'26.01.13 보고자료'!$P$22:$R$22</c:f>
              <c:numCache>
                <c:formatCode>m"/"d;@</c:formatCode>
                <c:ptCount val="3"/>
                <c:pt idx="0">
                  <c:v>46020</c:v>
                </c:pt>
                <c:pt idx="1">
                  <c:v>46027</c:v>
                </c:pt>
                <c:pt idx="2">
                  <c:v>46034</c:v>
                </c:pt>
              </c:numCache>
            </c:numRef>
          </c:cat>
          <c:val>
            <c:numRef>
              <c:f>'26.01.13 보고자료'!$P$26:$R$26</c:f>
              <c:numCache>
                <c:formatCode>General</c:formatCode>
                <c:ptCount val="3"/>
                <c:pt idx="0">
                  <c:v>463</c:v>
                </c:pt>
                <c:pt idx="1">
                  <c:v>450</c:v>
                </c:pt>
                <c:pt idx="2">
                  <c:v>445</c:v>
                </c:pt>
              </c:numCache>
            </c:numRef>
          </c:val>
          <c:smooth val="0"/>
          <c:extLst>
            <c:ext xmlns:c16="http://schemas.microsoft.com/office/drawing/2014/chart" uri="{C3380CC4-5D6E-409C-BE32-E72D297353CC}">
              <c16:uniqueId val="{00000003-3DA2-4E9B-BFFB-4EC1B9A758CD}"/>
            </c:ext>
          </c:extLst>
        </c:ser>
        <c:ser>
          <c:idx val="4"/>
          <c:order val="4"/>
          <c:tx>
            <c:strRef>
              <c:f>'26.01.13 보고자료'!$O$27</c:f>
              <c:strCache>
                <c:ptCount val="1"/>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f>'26.01.13 보고자료'!$P$22:$R$22</c:f>
              <c:numCache>
                <c:formatCode>m"/"d;@</c:formatCode>
                <c:ptCount val="3"/>
                <c:pt idx="0">
                  <c:v>46020</c:v>
                </c:pt>
                <c:pt idx="1">
                  <c:v>46027</c:v>
                </c:pt>
                <c:pt idx="2">
                  <c:v>46034</c:v>
                </c:pt>
              </c:numCache>
            </c:numRef>
          </c:cat>
          <c:val>
            <c:numRef>
              <c:f>'26.01.13 보고자료'!$P$27:$R$27</c:f>
              <c:numCache>
                <c:formatCode>General</c:formatCode>
                <c:ptCount val="3"/>
              </c:numCache>
            </c:numRef>
          </c:val>
          <c:smooth val="0"/>
          <c:extLst>
            <c:ext xmlns:c16="http://schemas.microsoft.com/office/drawing/2014/chart" uri="{C3380CC4-5D6E-409C-BE32-E72D297353CC}">
              <c16:uniqueId val="{00000004-3DA2-4E9B-BFFB-4EC1B9A758CD}"/>
            </c:ext>
          </c:extLst>
        </c:ser>
        <c:dLbls>
          <c:showLegendKey val="0"/>
          <c:showVal val="0"/>
          <c:showCatName val="0"/>
          <c:showSerName val="0"/>
          <c:showPercent val="0"/>
          <c:showBubbleSize val="0"/>
        </c:dLbls>
        <c:marker val="1"/>
        <c:smooth val="0"/>
        <c:axId val="1211795600"/>
        <c:axId val="1211793680"/>
      </c:lineChart>
      <c:catAx>
        <c:axId val="1211795600"/>
        <c:scaling>
          <c:orientation val="minMax"/>
        </c:scaling>
        <c:delete val="0"/>
        <c:axPos val="b"/>
        <c:numFmt formatCode="m&quot;/&quot;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211793680"/>
        <c:crosses val="autoZero"/>
        <c:auto val="0"/>
        <c:lblAlgn val="ctr"/>
        <c:lblOffset val="100"/>
        <c:noMultiLvlLbl val="0"/>
      </c:catAx>
      <c:valAx>
        <c:axId val="121179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11795600"/>
        <c:crosses val="autoZero"/>
        <c:crossBetween val="between"/>
      </c:valAx>
      <c:spPr>
        <a:noFill/>
        <a:ln>
          <a:noFill/>
        </a:ln>
        <a:effectLst/>
      </c:spPr>
    </c:plotArea>
    <c:legend>
      <c:legendPos val="b"/>
      <c:legendEntry>
        <c:idx val="4"/>
        <c:delete val="1"/>
      </c:legendEntry>
      <c:layout>
        <c:manualLayout>
          <c:xMode val="edge"/>
          <c:yMode val="edge"/>
          <c:x val="9.1556876250388095E-2"/>
          <c:y val="1.3485478921430528E-2"/>
          <c:w val="0.85267366674856604"/>
          <c:h val="9.624135012170809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53.xml"/><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editAs="oneCell">
    <xdr:from>
      <xdr:col>0</xdr:col>
      <xdr:colOff>653303</xdr:colOff>
      <xdr:row>48</xdr:row>
      <xdr:rowOff>16249</xdr:rowOff>
    </xdr:from>
    <xdr:to>
      <xdr:col>11</xdr:col>
      <xdr:colOff>15186</xdr:colOff>
      <xdr:row>68</xdr:row>
      <xdr:rowOff>203448</xdr:rowOff>
    </xdr:to>
    <xdr:pic>
      <xdr:nvPicPr>
        <xdr:cNvPr id="11" name="그림 10">
          <a:extLst>
            <a:ext uri="{FF2B5EF4-FFF2-40B4-BE49-F238E27FC236}">
              <a16:creationId xmlns:a16="http://schemas.microsoft.com/office/drawing/2014/main" id="{1E564EEF-C781-65F5-1399-F08B9AA9BDAB}"/>
            </a:ext>
          </a:extLst>
        </xdr:cNvPr>
        <xdr:cNvPicPr>
          <a:picLocks noChangeAspect="1"/>
        </xdr:cNvPicPr>
      </xdr:nvPicPr>
      <xdr:blipFill>
        <a:blip xmlns:r="http://schemas.openxmlformats.org/officeDocument/2006/relationships" r:embed="rId1"/>
        <a:stretch>
          <a:fillRect/>
        </a:stretch>
      </xdr:blipFill>
      <xdr:spPr>
        <a:xfrm>
          <a:off x="653303" y="10246099"/>
          <a:ext cx="8458258" cy="4378199"/>
        </a:xfrm>
        <a:prstGeom prst="rect">
          <a:avLst/>
        </a:prstGeom>
      </xdr:spPr>
    </xdr:pic>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3FB177FA-501A-41F3-8A62-C442340B9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2555947</xdr:colOff>
      <xdr:row>3</xdr:row>
      <xdr:rowOff>1681</xdr:rowOff>
    </xdr:from>
    <xdr:to>
      <xdr:col>23</xdr:col>
      <xdr:colOff>234875</xdr:colOff>
      <xdr:row>20</xdr:row>
      <xdr:rowOff>132342</xdr:rowOff>
    </xdr:to>
    <xdr:graphicFrame macro="">
      <xdr:nvGraphicFramePr>
        <xdr:cNvPr id="4" name="차트 3">
          <a:extLst>
            <a:ext uri="{FF2B5EF4-FFF2-40B4-BE49-F238E27FC236}">
              <a16:creationId xmlns:a16="http://schemas.microsoft.com/office/drawing/2014/main" id="{BD42B154-0E9C-4835-9A08-F67E04933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304821</xdr:colOff>
      <xdr:row>57</xdr:row>
      <xdr:rowOff>145288</xdr:rowOff>
    </xdr:from>
    <xdr:to>
      <xdr:col>1</xdr:col>
      <xdr:colOff>849207</xdr:colOff>
      <xdr:row>59</xdr:row>
      <xdr:rowOff>167825</xdr:rowOff>
    </xdr:to>
    <xdr:sp macro="" textlink="">
      <xdr:nvSpPr>
        <xdr:cNvPr id="5" name="TextBox 4">
          <a:extLst>
            <a:ext uri="{FF2B5EF4-FFF2-40B4-BE49-F238E27FC236}">
              <a16:creationId xmlns:a16="http://schemas.microsoft.com/office/drawing/2014/main" id="{AB4A65BE-6CAF-4C39-B588-023D9C5D710E}"/>
            </a:ext>
          </a:extLst>
        </xdr:cNvPr>
        <xdr:cNvSpPr txBox="1"/>
      </xdr:nvSpPr>
      <xdr:spPr>
        <a:xfrm>
          <a:off x="988380" y="12438141"/>
          <a:ext cx="544386" cy="448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293791</xdr:colOff>
      <xdr:row>59</xdr:row>
      <xdr:rowOff>188122</xdr:rowOff>
    </xdr:from>
    <xdr:to>
      <xdr:col>1</xdr:col>
      <xdr:colOff>797460</xdr:colOff>
      <xdr:row>62</xdr:row>
      <xdr:rowOff>20343</xdr:rowOff>
    </xdr:to>
    <xdr:sp macro="" textlink="">
      <xdr:nvSpPr>
        <xdr:cNvPr id="6" name="TextBox 5">
          <a:extLst>
            <a:ext uri="{FF2B5EF4-FFF2-40B4-BE49-F238E27FC236}">
              <a16:creationId xmlns:a16="http://schemas.microsoft.com/office/drawing/2014/main" id="{2D4CDCAA-B770-4AE3-8696-76EA768EA179}"/>
            </a:ext>
          </a:extLst>
        </xdr:cNvPr>
        <xdr:cNvSpPr txBox="1"/>
      </xdr:nvSpPr>
      <xdr:spPr>
        <a:xfrm>
          <a:off x="977350" y="12906798"/>
          <a:ext cx="503669" cy="47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10</xdr:col>
      <xdr:colOff>410602</xdr:colOff>
      <xdr:row>58</xdr:row>
      <xdr:rowOff>125930</xdr:rowOff>
    </xdr:from>
    <xdr:to>
      <xdr:col>11</xdr:col>
      <xdr:colOff>23284</xdr:colOff>
      <xdr:row>60</xdr:row>
      <xdr:rowOff>10485</xdr:rowOff>
    </xdr:to>
    <xdr:sp macro="" textlink="">
      <xdr:nvSpPr>
        <xdr:cNvPr id="7" name="TextBox 6">
          <a:extLst>
            <a:ext uri="{FF2B5EF4-FFF2-40B4-BE49-F238E27FC236}">
              <a16:creationId xmlns:a16="http://schemas.microsoft.com/office/drawing/2014/main" id="{B9ED533F-C8F5-4ABB-A45B-AFCDDFD93EAD}"/>
            </a:ext>
          </a:extLst>
        </xdr:cNvPr>
        <xdr:cNvSpPr txBox="1"/>
      </xdr:nvSpPr>
      <xdr:spPr>
        <a:xfrm>
          <a:off x="8736573" y="12631695"/>
          <a:ext cx="374682" cy="310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10</xdr:col>
      <xdr:colOff>487257</xdr:colOff>
      <xdr:row>54</xdr:row>
      <xdr:rowOff>169382</xdr:rowOff>
    </xdr:from>
    <xdr:to>
      <xdr:col>11</xdr:col>
      <xdr:colOff>92886</xdr:colOff>
      <xdr:row>56</xdr:row>
      <xdr:rowOff>8902</xdr:rowOff>
    </xdr:to>
    <xdr:sp macro="" textlink="">
      <xdr:nvSpPr>
        <xdr:cNvPr id="8" name="TextBox 7">
          <a:extLst>
            <a:ext uri="{FF2B5EF4-FFF2-40B4-BE49-F238E27FC236}">
              <a16:creationId xmlns:a16="http://schemas.microsoft.com/office/drawing/2014/main" id="{5D9D1EB7-AD97-4FC1-86CA-A56C29DC22E6}"/>
            </a:ext>
          </a:extLst>
        </xdr:cNvPr>
        <xdr:cNvSpPr txBox="1"/>
      </xdr:nvSpPr>
      <xdr:spPr>
        <a:xfrm>
          <a:off x="8813228" y="11823500"/>
          <a:ext cx="367629" cy="26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10</xdr:col>
      <xdr:colOff>519822</xdr:colOff>
      <xdr:row>57</xdr:row>
      <xdr:rowOff>6654</xdr:rowOff>
    </xdr:from>
    <xdr:to>
      <xdr:col>11</xdr:col>
      <xdr:colOff>126254</xdr:colOff>
      <xdr:row>58</xdr:row>
      <xdr:rowOff>80058</xdr:rowOff>
    </xdr:to>
    <xdr:sp macro="" textlink="">
      <xdr:nvSpPr>
        <xdr:cNvPr id="9" name="TextBox 8">
          <a:extLst>
            <a:ext uri="{FF2B5EF4-FFF2-40B4-BE49-F238E27FC236}">
              <a16:creationId xmlns:a16="http://schemas.microsoft.com/office/drawing/2014/main" id="{99962116-051D-4CF1-8ACA-19053CDA8A65}"/>
            </a:ext>
          </a:extLst>
        </xdr:cNvPr>
        <xdr:cNvSpPr txBox="1"/>
      </xdr:nvSpPr>
      <xdr:spPr>
        <a:xfrm>
          <a:off x="8845793" y="12299507"/>
          <a:ext cx="368432" cy="286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10</xdr:col>
      <xdr:colOff>538232</xdr:colOff>
      <xdr:row>56</xdr:row>
      <xdr:rowOff>5269</xdr:rowOff>
    </xdr:from>
    <xdr:to>
      <xdr:col>11</xdr:col>
      <xdr:colOff>167824</xdr:colOff>
      <xdr:row>57</xdr:row>
      <xdr:rowOff>24931</xdr:rowOff>
    </xdr:to>
    <xdr:sp macro="" textlink="">
      <xdr:nvSpPr>
        <xdr:cNvPr id="10" name="TextBox 9">
          <a:extLst>
            <a:ext uri="{FF2B5EF4-FFF2-40B4-BE49-F238E27FC236}">
              <a16:creationId xmlns:a16="http://schemas.microsoft.com/office/drawing/2014/main" id="{58B93CD8-6EA9-4DBB-8C29-419C9C751A87}"/>
            </a:ext>
          </a:extLst>
        </xdr:cNvPr>
        <xdr:cNvSpPr txBox="1"/>
      </xdr:nvSpPr>
      <xdr:spPr>
        <a:xfrm>
          <a:off x="8864203" y="12085210"/>
          <a:ext cx="391592" cy="232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10886</xdr:colOff>
      <xdr:row>48</xdr:row>
      <xdr:rowOff>97971</xdr:rowOff>
    </xdr:from>
    <xdr:to>
      <xdr:col>11</xdr:col>
      <xdr:colOff>582273</xdr:colOff>
      <xdr:row>71</xdr:row>
      <xdr:rowOff>76200</xdr:rowOff>
    </xdr:to>
    <xdr:pic>
      <xdr:nvPicPr>
        <xdr:cNvPr id="12" name="그림 11">
          <a:extLst>
            <a:ext uri="{FF2B5EF4-FFF2-40B4-BE49-F238E27FC236}">
              <a16:creationId xmlns:a16="http://schemas.microsoft.com/office/drawing/2014/main" id="{C7BD46C6-B705-CE42-83F5-4415E1B24EE9}"/>
            </a:ext>
          </a:extLst>
        </xdr:cNvPr>
        <xdr:cNvPicPr>
          <a:picLocks noChangeAspect="1"/>
        </xdr:cNvPicPr>
      </xdr:nvPicPr>
      <xdr:blipFill>
        <a:blip xmlns:r="http://schemas.openxmlformats.org/officeDocument/2006/relationships" r:embed="rId1"/>
        <a:stretch>
          <a:fillRect/>
        </a:stretch>
      </xdr:blipFill>
      <xdr:spPr>
        <a:xfrm>
          <a:off x="685800" y="10744200"/>
          <a:ext cx="8962072" cy="4985657"/>
        </a:xfrm>
        <a:prstGeom prst="rect">
          <a:avLst/>
        </a:prstGeom>
      </xdr:spPr>
    </xdr:pic>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DFCD47D2-795C-44E3-AC3E-E52825D0F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28CAA9B8-0884-4328-9794-B27FE254C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372056</xdr:colOff>
      <xdr:row>59</xdr:row>
      <xdr:rowOff>22024</xdr:rowOff>
    </xdr:from>
    <xdr:to>
      <xdr:col>1</xdr:col>
      <xdr:colOff>916442</xdr:colOff>
      <xdr:row>61</xdr:row>
      <xdr:rowOff>44560</xdr:rowOff>
    </xdr:to>
    <xdr:sp macro="" textlink="">
      <xdr:nvSpPr>
        <xdr:cNvPr id="5" name="TextBox 4">
          <a:extLst>
            <a:ext uri="{FF2B5EF4-FFF2-40B4-BE49-F238E27FC236}">
              <a16:creationId xmlns:a16="http://schemas.microsoft.com/office/drawing/2014/main" id="{37DEBD57-897E-40FD-9DC9-F203A8BFB7A8}"/>
            </a:ext>
          </a:extLst>
        </xdr:cNvPr>
        <xdr:cNvSpPr txBox="1"/>
      </xdr:nvSpPr>
      <xdr:spPr>
        <a:xfrm>
          <a:off x="1046970" y="13063110"/>
          <a:ext cx="544386" cy="457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361026</xdr:colOff>
      <xdr:row>61</xdr:row>
      <xdr:rowOff>64857</xdr:rowOff>
    </xdr:from>
    <xdr:to>
      <xdr:col>1</xdr:col>
      <xdr:colOff>864695</xdr:colOff>
      <xdr:row>63</xdr:row>
      <xdr:rowOff>109990</xdr:rowOff>
    </xdr:to>
    <xdr:sp macro="" textlink="">
      <xdr:nvSpPr>
        <xdr:cNvPr id="6" name="TextBox 5">
          <a:extLst>
            <a:ext uri="{FF2B5EF4-FFF2-40B4-BE49-F238E27FC236}">
              <a16:creationId xmlns:a16="http://schemas.microsoft.com/office/drawing/2014/main" id="{608B57DC-7D5D-4721-B160-9AA653C07E85}"/>
            </a:ext>
          </a:extLst>
        </xdr:cNvPr>
        <xdr:cNvSpPr txBox="1"/>
      </xdr:nvSpPr>
      <xdr:spPr>
        <a:xfrm>
          <a:off x="1035940" y="13541371"/>
          <a:ext cx="503669" cy="480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11</xdr:col>
      <xdr:colOff>287337</xdr:colOff>
      <xdr:row>56</xdr:row>
      <xdr:rowOff>170754</xdr:rowOff>
    </xdr:from>
    <xdr:to>
      <xdr:col>12</xdr:col>
      <xdr:colOff>56902</xdr:colOff>
      <xdr:row>58</xdr:row>
      <xdr:rowOff>55308</xdr:rowOff>
    </xdr:to>
    <xdr:sp macro="" textlink="">
      <xdr:nvSpPr>
        <xdr:cNvPr id="7" name="TextBox 6">
          <a:extLst>
            <a:ext uri="{FF2B5EF4-FFF2-40B4-BE49-F238E27FC236}">
              <a16:creationId xmlns:a16="http://schemas.microsoft.com/office/drawing/2014/main" id="{7C2111C4-D373-4FEC-9244-5A2ECFDBF785}"/>
            </a:ext>
          </a:extLst>
        </xdr:cNvPr>
        <xdr:cNvSpPr txBox="1"/>
      </xdr:nvSpPr>
      <xdr:spPr>
        <a:xfrm>
          <a:off x="9278937" y="12558697"/>
          <a:ext cx="368279" cy="31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11</xdr:col>
      <xdr:colOff>274345</xdr:colOff>
      <xdr:row>62</xdr:row>
      <xdr:rowOff>57324</xdr:rowOff>
    </xdr:from>
    <xdr:to>
      <xdr:col>12</xdr:col>
      <xdr:colOff>36857</xdr:colOff>
      <xdr:row>63</xdr:row>
      <xdr:rowOff>109755</xdr:rowOff>
    </xdr:to>
    <xdr:sp macro="" textlink="">
      <xdr:nvSpPr>
        <xdr:cNvPr id="8" name="TextBox 7">
          <a:extLst>
            <a:ext uri="{FF2B5EF4-FFF2-40B4-BE49-F238E27FC236}">
              <a16:creationId xmlns:a16="http://schemas.microsoft.com/office/drawing/2014/main" id="{CF69A66C-0BE3-4B68-90F0-92CBF2119F74}"/>
            </a:ext>
          </a:extLst>
        </xdr:cNvPr>
        <xdr:cNvSpPr txBox="1"/>
      </xdr:nvSpPr>
      <xdr:spPr>
        <a:xfrm>
          <a:off x="9265945" y="13751553"/>
          <a:ext cx="361226" cy="270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11</xdr:col>
      <xdr:colOff>273293</xdr:colOff>
      <xdr:row>60</xdr:row>
      <xdr:rowOff>174743</xdr:rowOff>
    </xdr:from>
    <xdr:to>
      <xdr:col>12</xdr:col>
      <xdr:colOff>36608</xdr:colOff>
      <xdr:row>62</xdr:row>
      <xdr:rowOff>35235</xdr:rowOff>
    </xdr:to>
    <xdr:sp macro="" textlink="">
      <xdr:nvSpPr>
        <xdr:cNvPr id="9" name="TextBox 8">
          <a:extLst>
            <a:ext uri="{FF2B5EF4-FFF2-40B4-BE49-F238E27FC236}">
              <a16:creationId xmlns:a16="http://schemas.microsoft.com/office/drawing/2014/main" id="{4DEECC3E-1E79-49AF-9BED-F7453F5E81DE}"/>
            </a:ext>
          </a:extLst>
        </xdr:cNvPr>
        <xdr:cNvSpPr txBox="1"/>
      </xdr:nvSpPr>
      <xdr:spPr>
        <a:xfrm>
          <a:off x="9264893" y="13433543"/>
          <a:ext cx="362029" cy="295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11</xdr:col>
      <xdr:colOff>291703</xdr:colOff>
      <xdr:row>58</xdr:row>
      <xdr:rowOff>83709</xdr:rowOff>
    </xdr:from>
    <xdr:to>
      <xdr:col>12</xdr:col>
      <xdr:colOff>78178</xdr:colOff>
      <xdr:row>59</xdr:row>
      <xdr:rowOff>103372</xdr:rowOff>
    </xdr:to>
    <xdr:sp macro="" textlink="">
      <xdr:nvSpPr>
        <xdr:cNvPr id="10" name="TextBox 9">
          <a:extLst>
            <a:ext uri="{FF2B5EF4-FFF2-40B4-BE49-F238E27FC236}">
              <a16:creationId xmlns:a16="http://schemas.microsoft.com/office/drawing/2014/main" id="{45B4BBE1-464C-4C84-866E-84F9833536BD}"/>
            </a:ext>
          </a:extLst>
        </xdr:cNvPr>
        <xdr:cNvSpPr txBox="1"/>
      </xdr:nvSpPr>
      <xdr:spPr>
        <a:xfrm>
          <a:off x="9283303" y="12907080"/>
          <a:ext cx="385189" cy="237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22412</xdr:colOff>
      <xdr:row>48</xdr:row>
      <xdr:rowOff>89647</xdr:rowOff>
    </xdr:from>
    <xdr:to>
      <xdr:col>13</xdr:col>
      <xdr:colOff>276188</xdr:colOff>
      <xdr:row>73</xdr:row>
      <xdr:rowOff>11096</xdr:rowOff>
    </xdr:to>
    <xdr:pic>
      <xdr:nvPicPr>
        <xdr:cNvPr id="11" name="그림 10">
          <a:extLst>
            <a:ext uri="{FF2B5EF4-FFF2-40B4-BE49-F238E27FC236}">
              <a16:creationId xmlns:a16="http://schemas.microsoft.com/office/drawing/2014/main" id="{789BF404-95E3-68CA-A6DE-C086661E752D}"/>
            </a:ext>
          </a:extLst>
        </xdr:cNvPr>
        <xdr:cNvPicPr>
          <a:picLocks noChangeAspect="1"/>
        </xdr:cNvPicPr>
      </xdr:nvPicPr>
      <xdr:blipFill>
        <a:blip xmlns:r="http://schemas.openxmlformats.org/officeDocument/2006/relationships" r:embed="rId1"/>
        <a:stretch>
          <a:fillRect/>
        </a:stretch>
      </xdr:blipFill>
      <xdr:spPr>
        <a:xfrm>
          <a:off x="705971" y="10466294"/>
          <a:ext cx="9774014" cy="5239481"/>
        </a:xfrm>
        <a:prstGeom prst="rect">
          <a:avLst/>
        </a:prstGeom>
      </xdr:spPr>
    </xdr:pic>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D8F5C1C2-5419-496D-A0D1-C6D869FE0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49F5BE2F-A85B-45D0-8D92-C26302B72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448256</xdr:colOff>
      <xdr:row>60</xdr:row>
      <xdr:rowOff>109110</xdr:rowOff>
    </xdr:from>
    <xdr:to>
      <xdr:col>2</xdr:col>
      <xdr:colOff>67356</xdr:colOff>
      <xdr:row>62</xdr:row>
      <xdr:rowOff>131645</xdr:rowOff>
    </xdr:to>
    <xdr:sp macro="" textlink="">
      <xdr:nvSpPr>
        <xdr:cNvPr id="5" name="TextBox 4">
          <a:extLst>
            <a:ext uri="{FF2B5EF4-FFF2-40B4-BE49-F238E27FC236}">
              <a16:creationId xmlns:a16="http://schemas.microsoft.com/office/drawing/2014/main" id="{9240EEF6-5241-4268-9675-0C42E17C41D4}"/>
            </a:ext>
          </a:extLst>
        </xdr:cNvPr>
        <xdr:cNvSpPr txBox="1"/>
      </xdr:nvSpPr>
      <xdr:spPr>
        <a:xfrm>
          <a:off x="1131815" y="13040698"/>
          <a:ext cx="549188" cy="44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437226</xdr:colOff>
      <xdr:row>61</xdr:row>
      <xdr:rowOff>195485</xdr:rowOff>
    </xdr:from>
    <xdr:to>
      <xdr:col>2</xdr:col>
      <xdr:colOff>15609</xdr:colOff>
      <xdr:row>64</xdr:row>
      <xdr:rowOff>22904</xdr:rowOff>
    </xdr:to>
    <xdr:sp macro="" textlink="">
      <xdr:nvSpPr>
        <xdr:cNvPr id="6" name="TextBox 5">
          <a:extLst>
            <a:ext uri="{FF2B5EF4-FFF2-40B4-BE49-F238E27FC236}">
              <a16:creationId xmlns:a16="http://schemas.microsoft.com/office/drawing/2014/main" id="{60D687C2-C5FE-4DB9-970A-412DB177995E}"/>
            </a:ext>
          </a:extLst>
        </xdr:cNvPr>
        <xdr:cNvSpPr txBox="1"/>
      </xdr:nvSpPr>
      <xdr:spPr>
        <a:xfrm>
          <a:off x="1120785" y="13339985"/>
          <a:ext cx="508471" cy="46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12</xdr:col>
      <xdr:colOff>407080</xdr:colOff>
      <xdr:row>60</xdr:row>
      <xdr:rowOff>116326</xdr:rowOff>
    </xdr:from>
    <xdr:to>
      <xdr:col>13</xdr:col>
      <xdr:colOff>176644</xdr:colOff>
      <xdr:row>62</xdr:row>
      <xdr:rowOff>879</xdr:rowOff>
    </xdr:to>
    <xdr:sp macro="" textlink="">
      <xdr:nvSpPr>
        <xdr:cNvPr id="7" name="TextBox 6">
          <a:extLst>
            <a:ext uri="{FF2B5EF4-FFF2-40B4-BE49-F238E27FC236}">
              <a16:creationId xmlns:a16="http://schemas.microsoft.com/office/drawing/2014/main" id="{1005058F-7760-410A-BFBD-152EBA746292}"/>
            </a:ext>
          </a:extLst>
        </xdr:cNvPr>
        <xdr:cNvSpPr txBox="1"/>
      </xdr:nvSpPr>
      <xdr:spPr>
        <a:xfrm>
          <a:off x="10010521" y="13047914"/>
          <a:ext cx="374682" cy="310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12</xdr:col>
      <xdr:colOff>426745</xdr:colOff>
      <xdr:row>62</xdr:row>
      <xdr:rowOff>46438</xdr:rowOff>
    </xdr:from>
    <xdr:to>
      <xdr:col>13</xdr:col>
      <xdr:colOff>189256</xdr:colOff>
      <xdr:row>63</xdr:row>
      <xdr:rowOff>98869</xdr:rowOff>
    </xdr:to>
    <xdr:sp macro="" textlink="">
      <xdr:nvSpPr>
        <xdr:cNvPr id="8" name="TextBox 7">
          <a:extLst>
            <a:ext uri="{FF2B5EF4-FFF2-40B4-BE49-F238E27FC236}">
              <a16:creationId xmlns:a16="http://schemas.microsoft.com/office/drawing/2014/main" id="{090A5AFB-5BE9-4D76-824D-484303B9121E}"/>
            </a:ext>
          </a:extLst>
        </xdr:cNvPr>
        <xdr:cNvSpPr txBox="1"/>
      </xdr:nvSpPr>
      <xdr:spPr>
        <a:xfrm>
          <a:off x="10030186" y="13403850"/>
          <a:ext cx="367629" cy="26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12</xdr:col>
      <xdr:colOff>436579</xdr:colOff>
      <xdr:row>61</xdr:row>
      <xdr:rowOff>109429</xdr:rowOff>
    </xdr:from>
    <xdr:to>
      <xdr:col>13</xdr:col>
      <xdr:colOff>199893</xdr:colOff>
      <xdr:row>62</xdr:row>
      <xdr:rowOff>187635</xdr:rowOff>
    </xdr:to>
    <xdr:sp macro="" textlink="">
      <xdr:nvSpPr>
        <xdr:cNvPr id="9" name="TextBox 8">
          <a:extLst>
            <a:ext uri="{FF2B5EF4-FFF2-40B4-BE49-F238E27FC236}">
              <a16:creationId xmlns:a16="http://schemas.microsoft.com/office/drawing/2014/main" id="{E4C614F9-4C6F-4A5A-8664-8CC2A1A18964}"/>
            </a:ext>
          </a:extLst>
        </xdr:cNvPr>
        <xdr:cNvSpPr txBox="1"/>
      </xdr:nvSpPr>
      <xdr:spPr>
        <a:xfrm>
          <a:off x="10040020" y="13253929"/>
          <a:ext cx="368432" cy="291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12</xdr:col>
      <xdr:colOff>422332</xdr:colOff>
      <xdr:row>59</xdr:row>
      <xdr:rowOff>29280</xdr:rowOff>
    </xdr:from>
    <xdr:to>
      <xdr:col>13</xdr:col>
      <xdr:colOff>208806</xdr:colOff>
      <xdr:row>60</xdr:row>
      <xdr:rowOff>48944</xdr:rowOff>
    </xdr:to>
    <xdr:sp macro="" textlink="">
      <xdr:nvSpPr>
        <xdr:cNvPr id="10" name="TextBox 9">
          <a:extLst>
            <a:ext uri="{FF2B5EF4-FFF2-40B4-BE49-F238E27FC236}">
              <a16:creationId xmlns:a16="http://schemas.microsoft.com/office/drawing/2014/main" id="{A50BB05C-3379-4C32-8EFC-DE1770E04C40}"/>
            </a:ext>
          </a:extLst>
        </xdr:cNvPr>
        <xdr:cNvSpPr txBox="1"/>
      </xdr:nvSpPr>
      <xdr:spPr>
        <a:xfrm>
          <a:off x="10025773" y="12747956"/>
          <a:ext cx="391592" cy="232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627530</xdr:colOff>
      <xdr:row>48</xdr:row>
      <xdr:rowOff>78441</xdr:rowOff>
    </xdr:from>
    <xdr:to>
      <xdr:col>13</xdr:col>
      <xdr:colOff>221564</xdr:colOff>
      <xdr:row>73</xdr:row>
      <xdr:rowOff>14181</xdr:rowOff>
    </xdr:to>
    <xdr:pic>
      <xdr:nvPicPr>
        <xdr:cNvPr id="11" name="그림 10">
          <a:extLst>
            <a:ext uri="{FF2B5EF4-FFF2-40B4-BE49-F238E27FC236}">
              <a16:creationId xmlns:a16="http://schemas.microsoft.com/office/drawing/2014/main" id="{96D04087-0B1E-4AB2-B66D-4E35094C6786}"/>
            </a:ext>
          </a:extLst>
        </xdr:cNvPr>
        <xdr:cNvPicPr>
          <a:picLocks noChangeAspect="1"/>
        </xdr:cNvPicPr>
      </xdr:nvPicPr>
      <xdr:blipFill>
        <a:blip xmlns:r="http://schemas.openxmlformats.org/officeDocument/2006/relationships" r:embed="rId1"/>
        <a:stretch>
          <a:fillRect/>
        </a:stretch>
      </xdr:blipFill>
      <xdr:spPr>
        <a:xfrm>
          <a:off x="627530" y="10455088"/>
          <a:ext cx="9802593" cy="5258534"/>
        </a:xfrm>
        <a:prstGeom prst="rect">
          <a:avLst/>
        </a:prstGeom>
      </xdr:spPr>
    </xdr:pic>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65F43D30-4E4E-4BBA-A7C1-614E2FA0B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9CAE0523-6ABF-4DA4-82F0-5F29BA96E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381020</xdr:colOff>
      <xdr:row>60</xdr:row>
      <xdr:rowOff>19462</xdr:rowOff>
    </xdr:from>
    <xdr:to>
      <xdr:col>1</xdr:col>
      <xdr:colOff>930208</xdr:colOff>
      <xdr:row>62</xdr:row>
      <xdr:rowOff>41997</xdr:rowOff>
    </xdr:to>
    <xdr:sp macro="" textlink="">
      <xdr:nvSpPr>
        <xdr:cNvPr id="5" name="TextBox 4">
          <a:extLst>
            <a:ext uri="{FF2B5EF4-FFF2-40B4-BE49-F238E27FC236}">
              <a16:creationId xmlns:a16="http://schemas.microsoft.com/office/drawing/2014/main" id="{058419CD-BFD3-4101-96F2-B765CD57C054}"/>
            </a:ext>
          </a:extLst>
        </xdr:cNvPr>
        <xdr:cNvSpPr txBox="1"/>
      </xdr:nvSpPr>
      <xdr:spPr>
        <a:xfrm>
          <a:off x="1066820" y="12763912"/>
          <a:ext cx="549188" cy="441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369990</xdr:colOff>
      <xdr:row>61</xdr:row>
      <xdr:rowOff>105837</xdr:rowOff>
    </xdr:from>
    <xdr:to>
      <xdr:col>1</xdr:col>
      <xdr:colOff>878461</xdr:colOff>
      <xdr:row>63</xdr:row>
      <xdr:rowOff>146167</xdr:rowOff>
    </xdr:to>
    <xdr:sp macro="" textlink="">
      <xdr:nvSpPr>
        <xdr:cNvPr id="6" name="TextBox 5">
          <a:extLst>
            <a:ext uri="{FF2B5EF4-FFF2-40B4-BE49-F238E27FC236}">
              <a16:creationId xmlns:a16="http://schemas.microsoft.com/office/drawing/2014/main" id="{1C4DEDA8-032C-459F-BF1D-D578913608C4}"/>
            </a:ext>
          </a:extLst>
        </xdr:cNvPr>
        <xdr:cNvSpPr txBox="1"/>
      </xdr:nvSpPr>
      <xdr:spPr>
        <a:xfrm>
          <a:off x="1055790" y="13059837"/>
          <a:ext cx="508471" cy="459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12</xdr:col>
      <xdr:colOff>395873</xdr:colOff>
      <xdr:row>61</xdr:row>
      <xdr:rowOff>4267</xdr:rowOff>
    </xdr:from>
    <xdr:to>
      <xdr:col>13</xdr:col>
      <xdr:colOff>165437</xdr:colOff>
      <xdr:row>62</xdr:row>
      <xdr:rowOff>101732</xdr:rowOff>
    </xdr:to>
    <xdr:sp macro="" textlink="">
      <xdr:nvSpPr>
        <xdr:cNvPr id="7" name="TextBox 6">
          <a:extLst>
            <a:ext uri="{FF2B5EF4-FFF2-40B4-BE49-F238E27FC236}">
              <a16:creationId xmlns:a16="http://schemas.microsoft.com/office/drawing/2014/main" id="{B89AF043-995B-479C-9E1A-88440B440DA2}"/>
            </a:ext>
          </a:extLst>
        </xdr:cNvPr>
        <xdr:cNvSpPr txBox="1"/>
      </xdr:nvSpPr>
      <xdr:spPr>
        <a:xfrm>
          <a:off x="10016123" y="12672517"/>
          <a:ext cx="368278" cy="301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12</xdr:col>
      <xdr:colOff>393127</xdr:colOff>
      <xdr:row>62</xdr:row>
      <xdr:rowOff>102468</xdr:rowOff>
    </xdr:from>
    <xdr:to>
      <xdr:col>13</xdr:col>
      <xdr:colOff>155638</xdr:colOff>
      <xdr:row>63</xdr:row>
      <xdr:rowOff>154899</xdr:rowOff>
    </xdr:to>
    <xdr:sp macro="" textlink="">
      <xdr:nvSpPr>
        <xdr:cNvPr id="8" name="TextBox 7">
          <a:extLst>
            <a:ext uri="{FF2B5EF4-FFF2-40B4-BE49-F238E27FC236}">
              <a16:creationId xmlns:a16="http://schemas.microsoft.com/office/drawing/2014/main" id="{9349105F-45EB-4860-8161-5F224B5618E8}"/>
            </a:ext>
          </a:extLst>
        </xdr:cNvPr>
        <xdr:cNvSpPr txBox="1"/>
      </xdr:nvSpPr>
      <xdr:spPr>
        <a:xfrm>
          <a:off x="10013377" y="12974825"/>
          <a:ext cx="361225" cy="256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12</xdr:col>
      <xdr:colOff>402961</xdr:colOff>
      <xdr:row>62</xdr:row>
      <xdr:rowOff>199075</xdr:rowOff>
    </xdr:from>
    <xdr:to>
      <xdr:col>13</xdr:col>
      <xdr:colOff>166275</xdr:colOff>
      <xdr:row>64</xdr:row>
      <xdr:rowOff>64370</xdr:rowOff>
    </xdr:to>
    <xdr:sp macro="" textlink="">
      <xdr:nvSpPr>
        <xdr:cNvPr id="9" name="TextBox 8">
          <a:extLst>
            <a:ext uri="{FF2B5EF4-FFF2-40B4-BE49-F238E27FC236}">
              <a16:creationId xmlns:a16="http://schemas.microsoft.com/office/drawing/2014/main" id="{8D1F444D-C9FC-4C27-A076-8948F078861C}"/>
            </a:ext>
          </a:extLst>
        </xdr:cNvPr>
        <xdr:cNvSpPr txBox="1"/>
      </xdr:nvSpPr>
      <xdr:spPr>
        <a:xfrm>
          <a:off x="10023211" y="13071432"/>
          <a:ext cx="362028" cy="273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12</xdr:col>
      <xdr:colOff>366302</xdr:colOff>
      <xdr:row>58</xdr:row>
      <xdr:rowOff>96515</xdr:rowOff>
    </xdr:from>
    <xdr:to>
      <xdr:col>13</xdr:col>
      <xdr:colOff>152776</xdr:colOff>
      <xdr:row>59</xdr:row>
      <xdr:rowOff>116180</xdr:rowOff>
    </xdr:to>
    <xdr:sp macro="" textlink="">
      <xdr:nvSpPr>
        <xdr:cNvPr id="10" name="TextBox 9">
          <a:extLst>
            <a:ext uri="{FF2B5EF4-FFF2-40B4-BE49-F238E27FC236}">
              <a16:creationId xmlns:a16="http://schemas.microsoft.com/office/drawing/2014/main" id="{96ECD5A5-C48E-4C7D-9F4C-D4F1077A6024}"/>
            </a:ext>
          </a:extLst>
        </xdr:cNvPr>
        <xdr:cNvSpPr txBox="1"/>
      </xdr:nvSpPr>
      <xdr:spPr>
        <a:xfrm>
          <a:off x="9986552" y="12152444"/>
          <a:ext cx="385188" cy="223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48</xdr:row>
      <xdr:rowOff>47624</xdr:rowOff>
    </xdr:from>
    <xdr:to>
      <xdr:col>12</xdr:col>
      <xdr:colOff>59134</xdr:colOff>
      <xdr:row>72</xdr:row>
      <xdr:rowOff>54391</xdr:rowOff>
    </xdr:to>
    <xdr:pic>
      <xdr:nvPicPr>
        <xdr:cNvPr id="2" name="그림 1">
          <a:extLst>
            <a:ext uri="{FF2B5EF4-FFF2-40B4-BE49-F238E27FC236}">
              <a16:creationId xmlns:a16="http://schemas.microsoft.com/office/drawing/2014/main" id="{BCD4C6D9-F4A0-4464-B631-9908DC9AA9E9}"/>
            </a:ext>
          </a:extLst>
        </xdr:cNvPr>
        <xdr:cNvPicPr>
          <a:picLocks noChangeAspect="1"/>
        </xdr:cNvPicPr>
      </xdr:nvPicPr>
      <xdr:blipFill>
        <a:blip xmlns:r="http://schemas.openxmlformats.org/officeDocument/2006/relationships" r:embed="rId1"/>
        <a:stretch>
          <a:fillRect/>
        </a:stretch>
      </xdr:blipFill>
      <xdr:spPr>
        <a:xfrm>
          <a:off x="671513" y="10746104"/>
          <a:ext cx="8980249" cy="5256947"/>
        </a:xfrm>
        <a:prstGeom prst="rect">
          <a:avLst/>
        </a:prstGeom>
      </xdr:spPr>
    </xdr:pic>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AFC229E9-2475-40FD-A9E4-F4877C43F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BBA42BFD-2705-414A-A44B-E273C0200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381020</xdr:colOff>
      <xdr:row>60</xdr:row>
      <xdr:rowOff>19462</xdr:rowOff>
    </xdr:from>
    <xdr:to>
      <xdr:col>1</xdr:col>
      <xdr:colOff>930208</xdr:colOff>
      <xdr:row>62</xdr:row>
      <xdr:rowOff>41997</xdr:rowOff>
    </xdr:to>
    <xdr:sp macro="" textlink="">
      <xdr:nvSpPr>
        <xdr:cNvPr id="5" name="TextBox 4">
          <a:extLst>
            <a:ext uri="{FF2B5EF4-FFF2-40B4-BE49-F238E27FC236}">
              <a16:creationId xmlns:a16="http://schemas.microsoft.com/office/drawing/2014/main" id="{0A184F78-25BA-45FA-B0BB-36ED1CAAC38B}"/>
            </a:ext>
          </a:extLst>
        </xdr:cNvPr>
        <xdr:cNvSpPr txBox="1"/>
      </xdr:nvSpPr>
      <xdr:spPr>
        <a:xfrm>
          <a:off x="1052533" y="13345890"/>
          <a:ext cx="548236" cy="461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369990</xdr:colOff>
      <xdr:row>61</xdr:row>
      <xdr:rowOff>105837</xdr:rowOff>
    </xdr:from>
    <xdr:to>
      <xdr:col>1</xdr:col>
      <xdr:colOff>878461</xdr:colOff>
      <xdr:row>63</xdr:row>
      <xdr:rowOff>146167</xdr:rowOff>
    </xdr:to>
    <xdr:sp macro="" textlink="">
      <xdr:nvSpPr>
        <xdr:cNvPr id="6" name="TextBox 5">
          <a:extLst>
            <a:ext uri="{FF2B5EF4-FFF2-40B4-BE49-F238E27FC236}">
              <a16:creationId xmlns:a16="http://schemas.microsoft.com/office/drawing/2014/main" id="{1AAA54CC-A3C9-4AF7-B0C0-82082B028FFA}"/>
            </a:ext>
          </a:extLst>
        </xdr:cNvPr>
        <xdr:cNvSpPr txBox="1"/>
      </xdr:nvSpPr>
      <xdr:spPr>
        <a:xfrm>
          <a:off x="1039598" y="13648482"/>
          <a:ext cx="510376" cy="478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11</xdr:col>
      <xdr:colOff>287015</xdr:colOff>
      <xdr:row>60</xdr:row>
      <xdr:rowOff>126731</xdr:rowOff>
    </xdr:from>
    <xdr:to>
      <xdr:col>12</xdr:col>
      <xdr:colOff>56579</xdr:colOff>
      <xdr:row>62</xdr:row>
      <xdr:rowOff>20089</xdr:rowOff>
    </xdr:to>
    <xdr:sp macro="" textlink="">
      <xdr:nvSpPr>
        <xdr:cNvPr id="7" name="TextBox 6">
          <a:extLst>
            <a:ext uri="{FF2B5EF4-FFF2-40B4-BE49-F238E27FC236}">
              <a16:creationId xmlns:a16="http://schemas.microsoft.com/office/drawing/2014/main" id="{F60C8D86-40E3-43E7-9508-D22F07830ED3}"/>
            </a:ext>
          </a:extLst>
        </xdr:cNvPr>
        <xdr:cNvSpPr txBox="1"/>
      </xdr:nvSpPr>
      <xdr:spPr>
        <a:xfrm>
          <a:off x="9274806" y="13451254"/>
          <a:ext cx="367734" cy="333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11</xdr:col>
      <xdr:colOff>284269</xdr:colOff>
      <xdr:row>61</xdr:row>
      <xdr:rowOff>88861</xdr:rowOff>
    </xdr:from>
    <xdr:to>
      <xdr:col>12</xdr:col>
      <xdr:colOff>46780</xdr:colOff>
      <xdr:row>62</xdr:row>
      <xdr:rowOff>141292</xdr:rowOff>
    </xdr:to>
    <xdr:sp macro="" textlink="">
      <xdr:nvSpPr>
        <xdr:cNvPr id="8" name="TextBox 7">
          <a:extLst>
            <a:ext uri="{FF2B5EF4-FFF2-40B4-BE49-F238E27FC236}">
              <a16:creationId xmlns:a16="http://schemas.microsoft.com/office/drawing/2014/main" id="{884424BC-816C-4176-BE5A-391E894CC16E}"/>
            </a:ext>
          </a:extLst>
        </xdr:cNvPr>
        <xdr:cNvSpPr txBox="1"/>
      </xdr:nvSpPr>
      <xdr:spPr>
        <a:xfrm>
          <a:off x="9270155" y="13632459"/>
          <a:ext cx="365443" cy="270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11</xdr:col>
      <xdr:colOff>294102</xdr:colOff>
      <xdr:row>62</xdr:row>
      <xdr:rowOff>22182</xdr:rowOff>
    </xdr:from>
    <xdr:to>
      <xdr:col>12</xdr:col>
      <xdr:colOff>57416</xdr:colOff>
      <xdr:row>63</xdr:row>
      <xdr:rowOff>91584</xdr:rowOff>
    </xdr:to>
    <xdr:sp macro="" textlink="">
      <xdr:nvSpPr>
        <xdr:cNvPr id="9" name="TextBox 8">
          <a:extLst>
            <a:ext uri="{FF2B5EF4-FFF2-40B4-BE49-F238E27FC236}">
              <a16:creationId xmlns:a16="http://schemas.microsoft.com/office/drawing/2014/main" id="{7B3CE3AB-0690-4F4A-93DF-9B2D771B9CF2}"/>
            </a:ext>
          </a:extLst>
        </xdr:cNvPr>
        <xdr:cNvSpPr txBox="1"/>
      </xdr:nvSpPr>
      <xdr:spPr>
        <a:xfrm>
          <a:off x="9279035" y="13786760"/>
          <a:ext cx="366247" cy="28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11</xdr:col>
      <xdr:colOff>271052</xdr:colOff>
      <xdr:row>58</xdr:row>
      <xdr:rowOff>1265</xdr:rowOff>
    </xdr:from>
    <xdr:to>
      <xdr:col>12</xdr:col>
      <xdr:colOff>57526</xdr:colOff>
      <xdr:row>59</xdr:row>
      <xdr:rowOff>20930</xdr:rowOff>
    </xdr:to>
    <xdr:sp macro="" textlink="">
      <xdr:nvSpPr>
        <xdr:cNvPr id="10" name="TextBox 9">
          <a:extLst>
            <a:ext uri="{FF2B5EF4-FFF2-40B4-BE49-F238E27FC236}">
              <a16:creationId xmlns:a16="http://schemas.microsoft.com/office/drawing/2014/main" id="{07B26275-04F0-4F89-94A1-D33946179B83}"/>
            </a:ext>
          </a:extLst>
        </xdr:cNvPr>
        <xdr:cNvSpPr txBox="1"/>
      </xdr:nvSpPr>
      <xdr:spPr>
        <a:xfrm>
          <a:off x="9259795" y="12888590"/>
          <a:ext cx="385597" cy="239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48</xdr:row>
      <xdr:rowOff>47624</xdr:rowOff>
    </xdr:from>
    <xdr:to>
      <xdr:col>12</xdr:col>
      <xdr:colOff>63896</xdr:colOff>
      <xdr:row>72</xdr:row>
      <xdr:rowOff>49628</xdr:rowOff>
    </xdr:to>
    <xdr:pic>
      <xdr:nvPicPr>
        <xdr:cNvPr id="11" name="그림 10">
          <a:extLst>
            <a:ext uri="{FF2B5EF4-FFF2-40B4-BE49-F238E27FC236}">
              <a16:creationId xmlns:a16="http://schemas.microsoft.com/office/drawing/2014/main" id="{79FF3458-5A6E-44D9-AA6E-A924E1084AD4}"/>
            </a:ext>
          </a:extLst>
        </xdr:cNvPr>
        <xdr:cNvPicPr>
          <a:picLocks noChangeAspect="1"/>
        </xdr:cNvPicPr>
      </xdr:nvPicPr>
      <xdr:blipFill>
        <a:blip xmlns:r="http://schemas.openxmlformats.org/officeDocument/2006/relationships" r:embed="rId1"/>
        <a:stretch>
          <a:fillRect/>
        </a:stretch>
      </xdr:blipFill>
      <xdr:spPr>
        <a:xfrm>
          <a:off x="673554" y="10688410"/>
          <a:ext cx="8982377" cy="5230908"/>
        </a:xfrm>
        <a:prstGeom prst="rect">
          <a:avLst/>
        </a:prstGeom>
      </xdr:spPr>
    </xdr:pic>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B6EA39D3-668F-455A-A51D-8F3B4207F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00903C79-28F0-4207-BA4B-376721935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381020</xdr:colOff>
      <xdr:row>60</xdr:row>
      <xdr:rowOff>19462</xdr:rowOff>
    </xdr:from>
    <xdr:to>
      <xdr:col>1</xdr:col>
      <xdr:colOff>930208</xdr:colOff>
      <xdr:row>62</xdr:row>
      <xdr:rowOff>41997</xdr:rowOff>
    </xdr:to>
    <xdr:sp macro="" textlink="">
      <xdr:nvSpPr>
        <xdr:cNvPr id="5" name="TextBox 4">
          <a:extLst>
            <a:ext uri="{FF2B5EF4-FFF2-40B4-BE49-F238E27FC236}">
              <a16:creationId xmlns:a16="http://schemas.microsoft.com/office/drawing/2014/main" id="{EA07BB8B-C1B6-4973-A5B1-0BFAC8F89867}"/>
            </a:ext>
          </a:extLst>
        </xdr:cNvPr>
        <xdr:cNvSpPr txBox="1"/>
      </xdr:nvSpPr>
      <xdr:spPr>
        <a:xfrm>
          <a:off x="1054574" y="13272819"/>
          <a:ext cx="549188" cy="457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369990</xdr:colOff>
      <xdr:row>61</xdr:row>
      <xdr:rowOff>105837</xdr:rowOff>
    </xdr:from>
    <xdr:to>
      <xdr:col>1</xdr:col>
      <xdr:colOff>878461</xdr:colOff>
      <xdr:row>63</xdr:row>
      <xdr:rowOff>146167</xdr:rowOff>
    </xdr:to>
    <xdr:sp macro="" textlink="">
      <xdr:nvSpPr>
        <xdr:cNvPr id="6" name="TextBox 5">
          <a:extLst>
            <a:ext uri="{FF2B5EF4-FFF2-40B4-BE49-F238E27FC236}">
              <a16:creationId xmlns:a16="http://schemas.microsoft.com/office/drawing/2014/main" id="{3A464B1D-715B-4190-8622-23D4ECDA0EB6}"/>
            </a:ext>
          </a:extLst>
        </xdr:cNvPr>
        <xdr:cNvSpPr txBox="1"/>
      </xdr:nvSpPr>
      <xdr:spPr>
        <a:xfrm>
          <a:off x="1043544" y="13576908"/>
          <a:ext cx="508471" cy="475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11</xdr:col>
      <xdr:colOff>287015</xdr:colOff>
      <xdr:row>60</xdr:row>
      <xdr:rowOff>126731</xdr:rowOff>
    </xdr:from>
    <xdr:to>
      <xdr:col>12</xdr:col>
      <xdr:colOff>56579</xdr:colOff>
      <xdr:row>62</xdr:row>
      <xdr:rowOff>20089</xdr:rowOff>
    </xdr:to>
    <xdr:sp macro="" textlink="">
      <xdr:nvSpPr>
        <xdr:cNvPr id="7" name="TextBox 6">
          <a:extLst>
            <a:ext uri="{FF2B5EF4-FFF2-40B4-BE49-F238E27FC236}">
              <a16:creationId xmlns:a16="http://schemas.microsoft.com/office/drawing/2014/main" id="{B045BDAD-AA8A-41ED-9F33-53B01BC2987B}"/>
            </a:ext>
          </a:extLst>
        </xdr:cNvPr>
        <xdr:cNvSpPr txBox="1"/>
      </xdr:nvSpPr>
      <xdr:spPr>
        <a:xfrm>
          <a:off x="9281336" y="13380088"/>
          <a:ext cx="368279" cy="32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11</xdr:col>
      <xdr:colOff>284269</xdr:colOff>
      <xdr:row>61</xdr:row>
      <xdr:rowOff>88861</xdr:rowOff>
    </xdr:from>
    <xdr:to>
      <xdr:col>12</xdr:col>
      <xdr:colOff>46780</xdr:colOff>
      <xdr:row>62</xdr:row>
      <xdr:rowOff>141292</xdr:rowOff>
    </xdr:to>
    <xdr:sp macro="" textlink="">
      <xdr:nvSpPr>
        <xdr:cNvPr id="8" name="TextBox 7">
          <a:extLst>
            <a:ext uri="{FF2B5EF4-FFF2-40B4-BE49-F238E27FC236}">
              <a16:creationId xmlns:a16="http://schemas.microsoft.com/office/drawing/2014/main" id="{CF73B342-A315-4CAF-A091-0DB67A93C912}"/>
            </a:ext>
          </a:extLst>
        </xdr:cNvPr>
        <xdr:cNvSpPr txBox="1"/>
      </xdr:nvSpPr>
      <xdr:spPr>
        <a:xfrm>
          <a:off x="9278590" y="13559932"/>
          <a:ext cx="361226" cy="27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11</xdr:col>
      <xdr:colOff>294102</xdr:colOff>
      <xdr:row>62</xdr:row>
      <xdr:rowOff>22182</xdr:rowOff>
    </xdr:from>
    <xdr:to>
      <xdr:col>12</xdr:col>
      <xdr:colOff>57416</xdr:colOff>
      <xdr:row>63</xdr:row>
      <xdr:rowOff>91584</xdr:rowOff>
    </xdr:to>
    <xdr:sp macro="" textlink="">
      <xdr:nvSpPr>
        <xdr:cNvPr id="9" name="TextBox 8">
          <a:extLst>
            <a:ext uri="{FF2B5EF4-FFF2-40B4-BE49-F238E27FC236}">
              <a16:creationId xmlns:a16="http://schemas.microsoft.com/office/drawing/2014/main" id="{230B74A1-E4FA-40AA-A33C-E3C4DC598389}"/>
            </a:ext>
          </a:extLst>
        </xdr:cNvPr>
        <xdr:cNvSpPr txBox="1"/>
      </xdr:nvSpPr>
      <xdr:spPr>
        <a:xfrm>
          <a:off x="9288423" y="13710968"/>
          <a:ext cx="362029" cy="287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11</xdr:col>
      <xdr:colOff>271052</xdr:colOff>
      <xdr:row>58</xdr:row>
      <xdr:rowOff>1265</xdr:rowOff>
    </xdr:from>
    <xdr:to>
      <xdr:col>12</xdr:col>
      <xdr:colOff>57526</xdr:colOff>
      <xdr:row>59</xdr:row>
      <xdr:rowOff>20930</xdr:rowOff>
    </xdr:to>
    <xdr:sp macro="" textlink="">
      <xdr:nvSpPr>
        <xdr:cNvPr id="10" name="TextBox 9">
          <a:extLst>
            <a:ext uri="{FF2B5EF4-FFF2-40B4-BE49-F238E27FC236}">
              <a16:creationId xmlns:a16="http://schemas.microsoft.com/office/drawing/2014/main" id="{B517D983-C950-4C7F-884B-9E6461AD8066}"/>
            </a:ext>
          </a:extLst>
        </xdr:cNvPr>
        <xdr:cNvSpPr txBox="1"/>
      </xdr:nvSpPr>
      <xdr:spPr>
        <a:xfrm>
          <a:off x="9265373" y="12819194"/>
          <a:ext cx="385189" cy="237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42726</xdr:colOff>
      <xdr:row>48</xdr:row>
      <xdr:rowOff>75791</xdr:rowOff>
    </xdr:from>
    <xdr:to>
      <xdr:col>11</xdr:col>
      <xdr:colOff>104619</xdr:colOff>
      <xdr:row>69</xdr:row>
      <xdr:rowOff>116955</xdr:rowOff>
    </xdr:to>
    <xdr:pic>
      <xdr:nvPicPr>
        <xdr:cNvPr id="13" name="그림 12">
          <a:extLst>
            <a:ext uri="{FF2B5EF4-FFF2-40B4-BE49-F238E27FC236}">
              <a16:creationId xmlns:a16="http://schemas.microsoft.com/office/drawing/2014/main" id="{49A4F6BB-DA6D-4F5A-9C2C-2718738E3146}"/>
            </a:ext>
          </a:extLst>
        </xdr:cNvPr>
        <xdr:cNvPicPr>
          <a:picLocks noChangeAspect="1"/>
        </xdr:cNvPicPr>
      </xdr:nvPicPr>
      <xdr:blipFill>
        <a:blip xmlns:r="http://schemas.openxmlformats.org/officeDocument/2006/relationships" r:embed="rId1"/>
        <a:stretch>
          <a:fillRect/>
        </a:stretch>
      </xdr:blipFill>
      <xdr:spPr>
        <a:xfrm>
          <a:off x="716280" y="10716577"/>
          <a:ext cx="8382660" cy="4613164"/>
        </a:xfrm>
        <a:prstGeom prst="rect">
          <a:avLst/>
        </a:prstGeom>
      </xdr:spPr>
    </xdr:pic>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033AF1D8-C5AB-46EF-A2BC-DB39DDFD9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1C4271A2-762A-43FF-A1DF-F8B98C341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333948</xdr:colOff>
      <xdr:row>60</xdr:row>
      <xdr:rowOff>2749</xdr:rowOff>
    </xdr:from>
    <xdr:to>
      <xdr:col>1</xdr:col>
      <xdr:colOff>882183</xdr:colOff>
      <xdr:row>62</xdr:row>
      <xdr:rowOff>26236</xdr:rowOff>
    </xdr:to>
    <xdr:sp macro="" textlink="">
      <xdr:nvSpPr>
        <xdr:cNvPr id="5" name="TextBox 4">
          <a:extLst>
            <a:ext uri="{FF2B5EF4-FFF2-40B4-BE49-F238E27FC236}">
              <a16:creationId xmlns:a16="http://schemas.microsoft.com/office/drawing/2014/main" id="{C6394143-FA33-4EAD-BC1F-AE318A5D7378}"/>
            </a:ext>
          </a:extLst>
        </xdr:cNvPr>
        <xdr:cNvSpPr txBox="1"/>
      </xdr:nvSpPr>
      <xdr:spPr>
        <a:xfrm>
          <a:off x="1007502" y="13256106"/>
          <a:ext cx="548235" cy="458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313865</xdr:colOff>
      <xdr:row>61</xdr:row>
      <xdr:rowOff>84531</xdr:rowOff>
    </xdr:from>
    <xdr:to>
      <xdr:col>1</xdr:col>
      <xdr:colOff>821384</xdr:colOff>
      <xdr:row>63</xdr:row>
      <xdr:rowOff>123107</xdr:rowOff>
    </xdr:to>
    <xdr:sp macro="" textlink="">
      <xdr:nvSpPr>
        <xdr:cNvPr id="6" name="TextBox 5">
          <a:extLst>
            <a:ext uri="{FF2B5EF4-FFF2-40B4-BE49-F238E27FC236}">
              <a16:creationId xmlns:a16="http://schemas.microsoft.com/office/drawing/2014/main" id="{76C5099B-29C2-44FC-A47B-C156E1F08737}"/>
            </a:ext>
          </a:extLst>
        </xdr:cNvPr>
        <xdr:cNvSpPr txBox="1"/>
      </xdr:nvSpPr>
      <xdr:spPr>
        <a:xfrm>
          <a:off x="987419" y="13555602"/>
          <a:ext cx="507519" cy="474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11</xdr:col>
      <xdr:colOff>243793</xdr:colOff>
      <xdr:row>60</xdr:row>
      <xdr:rowOff>140929</xdr:rowOff>
    </xdr:from>
    <xdr:to>
      <xdr:col>12</xdr:col>
      <xdr:colOff>12405</xdr:colOff>
      <xdr:row>62</xdr:row>
      <xdr:rowOff>38097</xdr:rowOff>
    </xdr:to>
    <xdr:sp macro="" textlink="">
      <xdr:nvSpPr>
        <xdr:cNvPr id="7" name="TextBox 6">
          <a:extLst>
            <a:ext uri="{FF2B5EF4-FFF2-40B4-BE49-F238E27FC236}">
              <a16:creationId xmlns:a16="http://schemas.microsoft.com/office/drawing/2014/main" id="{C88870C7-AAE4-4EA3-ABD2-0EB7792E4D92}"/>
            </a:ext>
          </a:extLst>
        </xdr:cNvPr>
        <xdr:cNvSpPr txBox="1"/>
      </xdr:nvSpPr>
      <xdr:spPr>
        <a:xfrm>
          <a:off x="9238114" y="13394286"/>
          <a:ext cx="367327" cy="332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11</xdr:col>
      <xdr:colOff>258104</xdr:colOff>
      <xdr:row>61</xdr:row>
      <xdr:rowOff>154402</xdr:rowOff>
    </xdr:from>
    <xdr:to>
      <xdr:col>12</xdr:col>
      <xdr:colOff>25377</xdr:colOff>
      <xdr:row>62</xdr:row>
      <xdr:rowOff>201269</xdr:rowOff>
    </xdr:to>
    <xdr:sp macro="" textlink="">
      <xdr:nvSpPr>
        <xdr:cNvPr id="8" name="TextBox 7">
          <a:extLst>
            <a:ext uri="{FF2B5EF4-FFF2-40B4-BE49-F238E27FC236}">
              <a16:creationId xmlns:a16="http://schemas.microsoft.com/office/drawing/2014/main" id="{52B21632-F507-4B78-B7F3-23998AA0DE1B}"/>
            </a:ext>
          </a:extLst>
        </xdr:cNvPr>
        <xdr:cNvSpPr txBox="1"/>
      </xdr:nvSpPr>
      <xdr:spPr>
        <a:xfrm>
          <a:off x="9252425" y="13625473"/>
          <a:ext cx="365988" cy="264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11</xdr:col>
      <xdr:colOff>252632</xdr:colOff>
      <xdr:row>62</xdr:row>
      <xdr:rowOff>65900</xdr:rowOff>
    </xdr:from>
    <xdr:to>
      <xdr:col>12</xdr:col>
      <xdr:colOff>14041</xdr:colOff>
      <xdr:row>63</xdr:row>
      <xdr:rowOff>136257</xdr:rowOff>
    </xdr:to>
    <xdr:sp macro="" textlink="">
      <xdr:nvSpPr>
        <xdr:cNvPr id="9" name="TextBox 8">
          <a:extLst>
            <a:ext uri="{FF2B5EF4-FFF2-40B4-BE49-F238E27FC236}">
              <a16:creationId xmlns:a16="http://schemas.microsoft.com/office/drawing/2014/main" id="{D18CB158-83F0-41DD-9554-0E302E99234F}"/>
            </a:ext>
          </a:extLst>
        </xdr:cNvPr>
        <xdr:cNvSpPr txBox="1"/>
      </xdr:nvSpPr>
      <xdr:spPr>
        <a:xfrm>
          <a:off x="9246953" y="13754686"/>
          <a:ext cx="360124" cy="288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11</xdr:col>
      <xdr:colOff>209819</xdr:colOff>
      <xdr:row>57</xdr:row>
      <xdr:rowOff>207526</xdr:rowOff>
    </xdr:from>
    <xdr:to>
      <xdr:col>11</xdr:col>
      <xdr:colOff>596913</xdr:colOff>
      <xdr:row>59</xdr:row>
      <xdr:rowOff>10428</xdr:rowOff>
    </xdr:to>
    <xdr:sp macro="" textlink="">
      <xdr:nvSpPr>
        <xdr:cNvPr id="10" name="TextBox 9">
          <a:extLst>
            <a:ext uri="{FF2B5EF4-FFF2-40B4-BE49-F238E27FC236}">
              <a16:creationId xmlns:a16="http://schemas.microsoft.com/office/drawing/2014/main" id="{06B15F48-AD48-425A-B71A-8B848DE35651}"/>
            </a:ext>
          </a:extLst>
        </xdr:cNvPr>
        <xdr:cNvSpPr txBox="1"/>
      </xdr:nvSpPr>
      <xdr:spPr>
        <a:xfrm>
          <a:off x="9204140" y="12807740"/>
          <a:ext cx="387094" cy="238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57150</xdr:colOff>
      <xdr:row>48</xdr:row>
      <xdr:rowOff>104775</xdr:rowOff>
    </xdr:from>
    <xdr:to>
      <xdr:col>11</xdr:col>
      <xdr:colOff>133316</xdr:colOff>
      <xdr:row>69</xdr:row>
      <xdr:rowOff>141163</xdr:rowOff>
    </xdr:to>
    <xdr:pic>
      <xdr:nvPicPr>
        <xdr:cNvPr id="14" name="그림 13">
          <a:extLst>
            <a:ext uri="{FF2B5EF4-FFF2-40B4-BE49-F238E27FC236}">
              <a16:creationId xmlns:a16="http://schemas.microsoft.com/office/drawing/2014/main" id="{F3D0DB2F-3640-19DA-3DA3-EF4B360EA71C}"/>
            </a:ext>
          </a:extLst>
        </xdr:cNvPr>
        <xdr:cNvPicPr>
          <a:picLocks noChangeAspect="1"/>
        </xdr:cNvPicPr>
      </xdr:nvPicPr>
      <xdr:blipFill>
        <a:blip xmlns:r="http://schemas.openxmlformats.org/officeDocument/2006/relationships" r:embed="rId1"/>
        <a:stretch>
          <a:fillRect/>
        </a:stretch>
      </xdr:blipFill>
      <xdr:spPr>
        <a:xfrm>
          <a:off x="742950" y="10829925"/>
          <a:ext cx="8401016" cy="4432176"/>
        </a:xfrm>
        <a:prstGeom prst="rect">
          <a:avLst/>
        </a:prstGeom>
      </xdr:spPr>
    </xdr:pic>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01FFE0DE-385E-4B71-90F2-C8BF92300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858C610D-E2B7-4BAD-A700-B76A17190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335300</xdr:colOff>
      <xdr:row>60</xdr:row>
      <xdr:rowOff>100152</xdr:rowOff>
    </xdr:from>
    <xdr:to>
      <xdr:col>1</xdr:col>
      <xdr:colOff>880678</xdr:colOff>
      <xdr:row>62</xdr:row>
      <xdr:rowOff>121735</xdr:rowOff>
    </xdr:to>
    <xdr:sp macro="" textlink="">
      <xdr:nvSpPr>
        <xdr:cNvPr id="5" name="TextBox 4">
          <a:extLst>
            <a:ext uri="{FF2B5EF4-FFF2-40B4-BE49-F238E27FC236}">
              <a16:creationId xmlns:a16="http://schemas.microsoft.com/office/drawing/2014/main" id="{A9ED1290-AC1E-47F3-A98C-D11EC0CD7E63}"/>
            </a:ext>
          </a:extLst>
        </xdr:cNvPr>
        <xdr:cNvSpPr txBox="1"/>
      </xdr:nvSpPr>
      <xdr:spPr>
        <a:xfrm>
          <a:off x="1021100" y="13339902"/>
          <a:ext cx="545378" cy="440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337877</xdr:colOff>
      <xdr:row>61</xdr:row>
      <xdr:rowOff>153462</xdr:rowOff>
    </xdr:from>
    <xdr:to>
      <xdr:col>1</xdr:col>
      <xdr:colOff>842538</xdr:colOff>
      <xdr:row>63</xdr:row>
      <xdr:rowOff>193792</xdr:rowOff>
    </xdr:to>
    <xdr:sp macro="" textlink="">
      <xdr:nvSpPr>
        <xdr:cNvPr id="6" name="TextBox 5">
          <a:extLst>
            <a:ext uri="{FF2B5EF4-FFF2-40B4-BE49-F238E27FC236}">
              <a16:creationId xmlns:a16="http://schemas.microsoft.com/office/drawing/2014/main" id="{7542B3AC-BAF1-40E1-9205-A9787F47B9C6}"/>
            </a:ext>
          </a:extLst>
        </xdr:cNvPr>
        <xdr:cNvSpPr txBox="1"/>
      </xdr:nvSpPr>
      <xdr:spPr>
        <a:xfrm>
          <a:off x="1023677" y="13602762"/>
          <a:ext cx="504661" cy="459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10</xdr:col>
      <xdr:colOff>621342</xdr:colOff>
      <xdr:row>55</xdr:row>
      <xdr:rowOff>113123</xdr:rowOff>
    </xdr:from>
    <xdr:to>
      <xdr:col>11</xdr:col>
      <xdr:colOff>226669</xdr:colOff>
      <xdr:row>57</xdr:row>
      <xdr:rowOff>4577</xdr:rowOff>
    </xdr:to>
    <xdr:sp macro="" textlink="">
      <xdr:nvSpPr>
        <xdr:cNvPr id="7" name="TextBox 6">
          <a:extLst>
            <a:ext uri="{FF2B5EF4-FFF2-40B4-BE49-F238E27FC236}">
              <a16:creationId xmlns:a16="http://schemas.microsoft.com/office/drawing/2014/main" id="{22EBA1C1-8022-4E2F-BE9A-F314D695F89F}"/>
            </a:ext>
          </a:extLst>
        </xdr:cNvPr>
        <xdr:cNvSpPr txBox="1"/>
      </xdr:nvSpPr>
      <xdr:spPr>
        <a:xfrm>
          <a:off x="8869992" y="12305123"/>
          <a:ext cx="367327" cy="310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10</xdr:col>
      <xdr:colOff>596280</xdr:colOff>
      <xdr:row>61</xdr:row>
      <xdr:rowOff>116076</xdr:rowOff>
    </xdr:from>
    <xdr:to>
      <xdr:col>11</xdr:col>
      <xdr:colOff>194554</xdr:colOff>
      <xdr:row>62</xdr:row>
      <xdr:rowOff>169459</xdr:rowOff>
    </xdr:to>
    <xdr:sp macro="" textlink="">
      <xdr:nvSpPr>
        <xdr:cNvPr id="8" name="TextBox 7">
          <a:extLst>
            <a:ext uri="{FF2B5EF4-FFF2-40B4-BE49-F238E27FC236}">
              <a16:creationId xmlns:a16="http://schemas.microsoft.com/office/drawing/2014/main" id="{07C53D24-DD7A-42CD-8B0A-F46294291D5A}"/>
            </a:ext>
          </a:extLst>
        </xdr:cNvPr>
        <xdr:cNvSpPr txBox="1"/>
      </xdr:nvSpPr>
      <xdr:spPr>
        <a:xfrm>
          <a:off x="8844930" y="13565376"/>
          <a:ext cx="360274" cy="262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10</xdr:col>
      <xdr:colOff>601214</xdr:colOff>
      <xdr:row>62</xdr:row>
      <xdr:rowOff>35789</xdr:rowOff>
    </xdr:from>
    <xdr:to>
      <xdr:col>11</xdr:col>
      <xdr:colOff>202195</xdr:colOff>
      <xdr:row>63</xdr:row>
      <xdr:rowOff>105191</xdr:rowOff>
    </xdr:to>
    <xdr:sp macro="" textlink="">
      <xdr:nvSpPr>
        <xdr:cNvPr id="9" name="TextBox 8">
          <a:extLst>
            <a:ext uri="{FF2B5EF4-FFF2-40B4-BE49-F238E27FC236}">
              <a16:creationId xmlns:a16="http://schemas.microsoft.com/office/drawing/2014/main" id="{3868A59E-24F7-4CBD-B849-86DA5E92D622}"/>
            </a:ext>
          </a:extLst>
        </xdr:cNvPr>
        <xdr:cNvSpPr txBox="1"/>
      </xdr:nvSpPr>
      <xdr:spPr>
        <a:xfrm>
          <a:off x="8849864" y="13694639"/>
          <a:ext cx="362981" cy="278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10</xdr:col>
      <xdr:colOff>630688</xdr:colOff>
      <xdr:row>57</xdr:row>
      <xdr:rowOff>49842</xdr:rowOff>
    </xdr:from>
    <xdr:to>
      <xdr:col>11</xdr:col>
      <xdr:colOff>253877</xdr:colOff>
      <xdr:row>58</xdr:row>
      <xdr:rowOff>70459</xdr:rowOff>
    </xdr:to>
    <xdr:sp macro="" textlink="">
      <xdr:nvSpPr>
        <xdr:cNvPr id="10" name="TextBox 9">
          <a:extLst>
            <a:ext uri="{FF2B5EF4-FFF2-40B4-BE49-F238E27FC236}">
              <a16:creationId xmlns:a16="http://schemas.microsoft.com/office/drawing/2014/main" id="{61801542-D01D-47BC-93B6-DA0768B24C8A}"/>
            </a:ext>
          </a:extLst>
        </xdr:cNvPr>
        <xdr:cNvSpPr txBox="1"/>
      </xdr:nvSpPr>
      <xdr:spPr>
        <a:xfrm>
          <a:off x="8879338" y="12660942"/>
          <a:ext cx="385189" cy="230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29808</xdr:colOff>
      <xdr:row>48</xdr:row>
      <xdr:rowOff>127076</xdr:rowOff>
    </xdr:from>
    <xdr:to>
      <xdr:col>11</xdr:col>
      <xdr:colOff>115678</xdr:colOff>
      <xdr:row>69</xdr:row>
      <xdr:rowOff>98739</xdr:rowOff>
    </xdr:to>
    <xdr:pic>
      <xdr:nvPicPr>
        <xdr:cNvPr id="17" name="그림 16">
          <a:extLst>
            <a:ext uri="{FF2B5EF4-FFF2-40B4-BE49-F238E27FC236}">
              <a16:creationId xmlns:a16="http://schemas.microsoft.com/office/drawing/2014/main" id="{709F7F6F-8232-8570-A249-73D4C4458230}"/>
            </a:ext>
          </a:extLst>
        </xdr:cNvPr>
        <xdr:cNvPicPr>
          <a:picLocks noChangeAspect="1"/>
        </xdr:cNvPicPr>
      </xdr:nvPicPr>
      <xdr:blipFill>
        <a:blip xmlns:r="http://schemas.openxmlformats.org/officeDocument/2006/relationships" r:embed="rId1"/>
        <a:stretch>
          <a:fillRect/>
        </a:stretch>
      </xdr:blipFill>
      <xdr:spPr>
        <a:xfrm>
          <a:off x="696558" y="11066172"/>
          <a:ext cx="8401928" cy="4592388"/>
        </a:xfrm>
        <a:prstGeom prst="rect">
          <a:avLst/>
        </a:prstGeom>
      </xdr:spPr>
    </xdr:pic>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9AB2197E-9161-4F35-BFAF-3AD2EBC78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3DF93A18-7D9A-4C10-AEE8-03A8F9DC8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363875</xdr:colOff>
      <xdr:row>60</xdr:row>
      <xdr:rowOff>109677</xdr:rowOff>
    </xdr:from>
    <xdr:to>
      <xdr:col>1</xdr:col>
      <xdr:colOff>909253</xdr:colOff>
      <xdr:row>62</xdr:row>
      <xdr:rowOff>131260</xdr:rowOff>
    </xdr:to>
    <xdr:sp macro="" textlink="">
      <xdr:nvSpPr>
        <xdr:cNvPr id="5" name="TextBox 4">
          <a:extLst>
            <a:ext uri="{FF2B5EF4-FFF2-40B4-BE49-F238E27FC236}">
              <a16:creationId xmlns:a16="http://schemas.microsoft.com/office/drawing/2014/main" id="{45E56E75-0CDB-4AE8-A1EB-588B2BD1CFB1}"/>
            </a:ext>
          </a:extLst>
        </xdr:cNvPr>
        <xdr:cNvSpPr txBox="1"/>
      </xdr:nvSpPr>
      <xdr:spPr>
        <a:xfrm>
          <a:off x="1036228" y="13915324"/>
          <a:ext cx="545378" cy="469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337877</xdr:colOff>
      <xdr:row>61</xdr:row>
      <xdr:rowOff>153462</xdr:rowOff>
    </xdr:from>
    <xdr:to>
      <xdr:col>1</xdr:col>
      <xdr:colOff>842538</xdr:colOff>
      <xdr:row>63</xdr:row>
      <xdr:rowOff>193792</xdr:rowOff>
    </xdr:to>
    <xdr:sp macro="" textlink="">
      <xdr:nvSpPr>
        <xdr:cNvPr id="6" name="TextBox 5">
          <a:extLst>
            <a:ext uri="{FF2B5EF4-FFF2-40B4-BE49-F238E27FC236}">
              <a16:creationId xmlns:a16="http://schemas.microsoft.com/office/drawing/2014/main" id="{3F450054-8357-4333-A7D6-22D6A68F4B04}"/>
            </a:ext>
          </a:extLst>
        </xdr:cNvPr>
        <xdr:cNvSpPr txBox="1"/>
      </xdr:nvSpPr>
      <xdr:spPr>
        <a:xfrm>
          <a:off x="1010230" y="14183227"/>
          <a:ext cx="504661" cy="488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10</xdr:col>
      <xdr:colOff>573717</xdr:colOff>
      <xdr:row>59</xdr:row>
      <xdr:rowOff>75023</xdr:rowOff>
    </xdr:from>
    <xdr:to>
      <xdr:col>11</xdr:col>
      <xdr:colOff>179044</xdr:colOff>
      <xdr:row>60</xdr:row>
      <xdr:rowOff>176027</xdr:rowOff>
    </xdr:to>
    <xdr:sp macro="" textlink="">
      <xdr:nvSpPr>
        <xdr:cNvPr id="7" name="TextBox 6">
          <a:extLst>
            <a:ext uri="{FF2B5EF4-FFF2-40B4-BE49-F238E27FC236}">
              <a16:creationId xmlns:a16="http://schemas.microsoft.com/office/drawing/2014/main" id="{B444FC80-057F-450E-8426-9CC4A232C280}"/>
            </a:ext>
          </a:extLst>
        </xdr:cNvPr>
        <xdr:cNvSpPr txBox="1"/>
      </xdr:nvSpPr>
      <xdr:spPr>
        <a:xfrm>
          <a:off x="8798835" y="13656552"/>
          <a:ext cx="367327" cy="32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10</xdr:col>
      <xdr:colOff>577230</xdr:colOff>
      <xdr:row>62</xdr:row>
      <xdr:rowOff>58926</xdr:rowOff>
    </xdr:from>
    <xdr:to>
      <xdr:col>11</xdr:col>
      <xdr:colOff>175504</xdr:colOff>
      <xdr:row>63</xdr:row>
      <xdr:rowOff>112309</xdr:rowOff>
    </xdr:to>
    <xdr:sp macro="" textlink="">
      <xdr:nvSpPr>
        <xdr:cNvPr id="8" name="TextBox 7">
          <a:extLst>
            <a:ext uri="{FF2B5EF4-FFF2-40B4-BE49-F238E27FC236}">
              <a16:creationId xmlns:a16="http://schemas.microsoft.com/office/drawing/2014/main" id="{322ED48B-596C-417A-80F5-EB3CB45B254D}"/>
            </a:ext>
          </a:extLst>
        </xdr:cNvPr>
        <xdr:cNvSpPr txBox="1"/>
      </xdr:nvSpPr>
      <xdr:spPr>
        <a:xfrm>
          <a:off x="8798038" y="14075330"/>
          <a:ext cx="360274" cy="27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10</xdr:col>
      <xdr:colOff>591689</xdr:colOff>
      <xdr:row>61</xdr:row>
      <xdr:rowOff>121514</xdr:rowOff>
    </xdr:from>
    <xdr:to>
      <xdr:col>11</xdr:col>
      <xdr:colOff>192670</xdr:colOff>
      <xdr:row>62</xdr:row>
      <xdr:rowOff>190916</xdr:rowOff>
    </xdr:to>
    <xdr:sp macro="" textlink="">
      <xdr:nvSpPr>
        <xdr:cNvPr id="9" name="TextBox 8">
          <a:extLst>
            <a:ext uri="{FF2B5EF4-FFF2-40B4-BE49-F238E27FC236}">
              <a16:creationId xmlns:a16="http://schemas.microsoft.com/office/drawing/2014/main" id="{39D57282-E513-4B5E-991E-67C6E0618E51}"/>
            </a:ext>
          </a:extLst>
        </xdr:cNvPr>
        <xdr:cNvSpPr txBox="1"/>
      </xdr:nvSpPr>
      <xdr:spPr>
        <a:xfrm>
          <a:off x="8812497" y="13918110"/>
          <a:ext cx="362981" cy="289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10</xdr:col>
      <xdr:colOff>602113</xdr:colOff>
      <xdr:row>56</xdr:row>
      <xdr:rowOff>211767</xdr:rowOff>
    </xdr:from>
    <xdr:to>
      <xdr:col>11</xdr:col>
      <xdr:colOff>225302</xdr:colOff>
      <xdr:row>58</xdr:row>
      <xdr:rowOff>22834</xdr:rowOff>
    </xdr:to>
    <xdr:sp macro="" textlink="">
      <xdr:nvSpPr>
        <xdr:cNvPr id="10" name="TextBox 9">
          <a:extLst>
            <a:ext uri="{FF2B5EF4-FFF2-40B4-BE49-F238E27FC236}">
              <a16:creationId xmlns:a16="http://schemas.microsoft.com/office/drawing/2014/main" id="{B1B0DC54-8C84-4B18-B51A-F6EAFB9FBFDB}"/>
            </a:ext>
          </a:extLst>
        </xdr:cNvPr>
        <xdr:cNvSpPr txBox="1"/>
      </xdr:nvSpPr>
      <xdr:spPr>
        <a:xfrm>
          <a:off x="8827231" y="13120943"/>
          <a:ext cx="385189" cy="259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60613</xdr:colOff>
      <xdr:row>48</xdr:row>
      <xdr:rowOff>103910</xdr:rowOff>
    </xdr:from>
    <xdr:to>
      <xdr:col>11</xdr:col>
      <xdr:colOff>114471</xdr:colOff>
      <xdr:row>69</xdr:row>
      <xdr:rowOff>140223</xdr:rowOff>
    </xdr:to>
    <xdr:graphicFrame macro="">
      <xdr:nvGraphicFramePr>
        <xdr:cNvPr id="12" name="차트 11">
          <a:extLst>
            <a:ext uri="{FF2B5EF4-FFF2-40B4-BE49-F238E27FC236}">
              <a16:creationId xmlns:a16="http://schemas.microsoft.com/office/drawing/2014/main" id="{86C28927-39A5-430A-88A6-73C03A2C6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73748341-7C5C-4EE2-8317-B8669A69C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C6B02B69-AA99-4CE5-A916-81DB4F143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419904</xdr:colOff>
      <xdr:row>60</xdr:row>
      <xdr:rowOff>6919</xdr:rowOff>
    </xdr:from>
    <xdr:to>
      <xdr:col>2</xdr:col>
      <xdr:colOff>35194</xdr:colOff>
      <xdr:row>62</xdr:row>
      <xdr:rowOff>32312</xdr:rowOff>
    </xdr:to>
    <xdr:sp macro="" textlink="">
      <xdr:nvSpPr>
        <xdr:cNvPr id="5" name="TextBox 4">
          <a:extLst>
            <a:ext uri="{FF2B5EF4-FFF2-40B4-BE49-F238E27FC236}">
              <a16:creationId xmlns:a16="http://schemas.microsoft.com/office/drawing/2014/main" id="{89D3BEBB-921C-4E78-AA41-DEF847CB8F9E}"/>
            </a:ext>
          </a:extLst>
        </xdr:cNvPr>
        <xdr:cNvSpPr txBox="1"/>
      </xdr:nvSpPr>
      <xdr:spPr>
        <a:xfrm>
          <a:off x="1107065" y="12763616"/>
          <a:ext cx="547379" cy="447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425619</xdr:colOff>
      <xdr:row>61</xdr:row>
      <xdr:rowOff>84323</xdr:rowOff>
    </xdr:from>
    <xdr:to>
      <xdr:col>2</xdr:col>
      <xdr:colOff>2097</xdr:colOff>
      <xdr:row>63</xdr:row>
      <xdr:rowOff>124652</xdr:rowOff>
    </xdr:to>
    <xdr:sp macro="" textlink="">
      <xdr:nvSpPr>
        <xdr:cNvPr id="6" name="TextBox 5">
          <a:extLst>
            <a:ext uri="{FF2B5EF4-FFF2-40B4-BE49-F238E27FC236}">
              <a16:creationId xmlns:a16="http://schemas.microsoft.com/office/drawing/2014/main" id="{191BDBC4-F24C-4F48-966D-A1C55ECC9E98}"/>
            </a:ext>
          </a:extLst>
        </xdr:cNvPr>
        <xdr:cNvSpPr txBox="1"/>
      </xdr:nvSpPr>
      <xdr:spPr>
        <a:xfrm>
          <a:off x="1111419" y="12981173"/>
          <a:ext cx="509928" cy="459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10</xdr:col>
      <xdr:colOff>625936</xdr:colOff>
      <xdr:row>59</xdr:row>
      <xdr:rowOff>65722</xdr:rowOff>
    </xdr:from>
    <xdr:to>
      <xdr:col>11</xdr:col>
      <xdr:colOff>233168</xdr:colOff>
      <xdr:row>60</xdr:row>
      <xdr:rowOff>162916</xdr:rowOff>
    </xdr:to>
    <xdr:sp macro="" textlink="">
      <xdr:nvSpPr>
        <xdr:cNvPr id="7" name="TextBox 6">
          <a:extLst>
            <a:ext uri="{FF2B5EF4-FFF2-40B4-BE49-F238E27FC236}">
              <a16:creationId xmlns:a16="http://schemas.microsoft.com/office/drawing/2014/main" id="{273B398C-D505-4843-98C8-79FB334F9CA1}"/>
            </a:ext>
          </a:extLst>
        </xdr:cNvPr>
        <xdr:cNvSpPr txBox="1"/>
      </xdr:nvSpPr>
      <xdr:spPr>
        <a:xfrm>
          <a:off x="8871865" y="12611508"/>
          <a:ext cx="369232" cy="308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10</xdr:col>
      <xdr:colOff>570266</xdr:colOff>
      <xdr:row>62</xdr:row>
      <xdr:rowOff>6844</xdr:rowOff>
    </xdr:from>
    <xdr:to>
      <xdr:col>11</xdr:col>
      <xdr:colOff>162825</xdr:colOff>
      <xdr:row>63</xdr:row>
      <xdr:rowOff>64037</xdr:rowOff>
    </xdr:to>
    <xdr:sp macro="" textlink="">
      <xdr:nvSpPr>
        <xdr:cNvPr id="8" name="TextBox 7">
          <a:extLst>
            <a:ext uri="{FF2B5EF4-FFF2-40B4-BE49-F238E27FC236}">
              <a16:creationId xmlns:a16="http://schemas.microsoft.com/office/drawing/2014/main" id="{8C6B0AC6-1F2A-4531-8DA1-20648C7F19CA}"/>
            </a:ext>
          </a:extLst>
        </xdr:cNvPr>
        <xdr:cNvSpPr txBox="1"/>
      </xdr:nvSpPr>
      <xdr:spPr>
        <a:xfrm>
          <a:off x="8816195" y="13185363"/>
          <a:ext cx="354559" cy="268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10</xdr:col>
      <xdr:colOff>605231</xdr:colOff>
      <xdr:row>61</xdr:row>
      <xdr:rowOff>9025</xdr:rowOff>
    </xdr:from>
    <xdr:to>
      <xdr:col>11</xdr:col>
      <xdr:colOff>198592</xdr:colOff>
      <xdr:row>62</xdr:row>
      <xdr:rowOff>74616</xdr:rowOff>
    </xdr:to>
    <xdr:sp macro="" textlink="">
      <xdr:nvSpPr>
        <xdr:cNvPr id="9" name="TextBox 8">
          <a:extLst>
            <a:ext uri="{FF2B5EF4-FFF2-40B4-BE49-F238E27FC236}">
              <a16:creationId xmlns:a16="http://schemas.microsoft.com/office/drawing/2014/main" id="{F004CB88-BE97-4403-94A9-7AA048BCF819}"/>
            </a:ext>
          </a:extLst>
        </xdr:cNvPr>
        <xdr:cNvSpPr txBox="1"/>
      </xdr:nvSpPr>
      <xdr:spPr>
        <a:xfrm>
          <a:off x="8851160" y="12976632"/>
          <a:ext cx="355361" cy="276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10</xdr:col>
      <xdr:colOff>482659</xdr:colOff>
      <xdr:row>56</xdr:row>
      <xdr:rowOff>25076</xdr:rowOff>
    </xdr:from>
    <xdr:to>
      <xdr:col>11</xdr:col>
      <xdr:colOff>103943</xdr:colOff>
      <xdr:row>57</xdr:row>
      <xdr:rowOff>60261</xdr:rowOff>
    </xdr:to>
    <xdr:sp macro="" textlink="">
      <xdr:nvSpPr>
        <xdr:cNvPr id="10" name="TextBox 9">
          <a:extLst>
            <a:ext uri="{FF2B5EF4-FFF2-40B4-BE49-F238E27FC236}">
              <a16:creationId xmlns:a16="http://schemas.microsoft.com/office/drawing/2014/main" id="{F8EDD85F-1FB6-4786-9854-F6BF916283AE}"/>
            </a:ext>
          </a:extLst>
        </xdr:cNvPr>
        <xdr:cNvSpPr txBox="1"/>
      </xdr:nvSpPr>
      <xdr:spPr>
        <a:xfrm>
          <a:off x="8731309" y="11874176"/>
          <a:ext cx="383284" cy="24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47</xdr:row>
      <xdr:rowOff>185057</xdr:rowOff>
    </xdr:from>
    <xdr:to>
      <xdr:col>11</xdr:col>
      <xdr:colOff>82907</xdr:colOff>
      <xdr:row>69</xdr:row>
      <xdr:rowOff>132461</xdr:rowOff>
    </xdr:to>
    <xdr:graphicFrame macro="">
      <xdr:nvGraphicFramePr>
        <xdr:cNvPr id="11" name="차트 10">
          <a:extLst>
            <a:ext uri="{FF2B5EF4-FFF2-40B4-BE49-F238E27FC236}">
              <a16:creationId xmlns:a16="http://schemas.microsoft.com/office/drawing/2014/main" id="{D5805631-1702-429F-9F36-C96FF840D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6144ECBD-6E48-4272-A0FD-F3B5A8C28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2584522</xdr:colOff>
      <xdr:row>3</xdr:row>
      <xdr:rowOff>11206</xdr:rowOff>
    </xdr:from>
    <xdr:to>
      <xdr:col>23</xdr:col>
      <xdr:colOff>263450</xdr:colOff>
      <xdr:row>20</xdr:row>
      <xdr:rowOff>141867</xdr:rowOff>
    </xdr:to>
    <xdr:graphicFrame macro="">
      <xdr:nvGraphicFramePr>
        <xdr:cNvPr id="4" name="차트 3">
          <a:extLst>
            <a:ext uri="{FF2B5EF4-FFF2-40B4-BE49-F238E27FC236}">
              <a16:creationId xmlns:a16="http://schemas.microsoft.com/office/drawing/2014/main" id="{887305D5-B271-4265-ABCE-983B08976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331457</xdr:colOff>
      <xdr:row>59</xdr:row>
      <xdr:rowOff>183812</xdr:rowOff>
    </xdr:from>
    <xdr:to>
      <xdr:col>1</xdr:col>
      <xdr:colOff>878836</xdr:colOff>
      <xdr:row>61</xdr:row>
      <xdr:rowOff>209206</xdr:rowOff>
    </xdr:to>
    <xdr:sp macro="" textlink="">
      <xdr:nvSpPr>
        <xdr:cNvPr id="5" name="TextBox 4">
          <a:extLst>
            <a:ext uri="{FF2B5EF4-FFF2-40B4-BE49-F238E27FC236}">
              <a16:creationId xmlns:a16="http://schemas.microsoft.com/office/drawing/2014/main" id="{1EA60CA8-1357-4D4E-B90E-A8C7469E73A9}"/>
            </a:ext>
          </a:extLst>
        </xdr:cNvPr>
        <xdr:cNvSpPr txBox="1"/>
      </xdr:nvSpPr>
      <xdr:spPr>
        <a:xfrm>
          <a:off x="1002017" y="13389272"/>
          <a:ext cx="547379" cy="467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312680</xdr:colOff>
      <xdr:row>61</xdr:row>
      <xdr:rowOff>59830</xdr:rowOff>
    </xdr:from>
    <xdr:to>
      <xdr:col>1</xdr:col>
      <xdr:colOff>822608</xdr:colOff>
      <xdr:row>63</xdr:row>
      <xdr:rowOff>100159</xdr:rowOff>
    </xdr:to>
    <xdr:sp macro="" textlink="">
      <xdr:nvSpPr>
        <xdr:cNvPr id="6" name="TextBox 5">
          <a:extLst>
            <a:ext uri="{FF2B5EF4-FFF2-40B4-BE49-F238E27FC236}">
              <a16:creationId xmlns:a16="http://schemas.microsoft.com/office/drawing/2014/main" id="{65FABDD2-C904-430D-A1A2-23EC0F6EAFFF}"/>
            </a:ext>
          </a:extLst>
        </xdr:cNvPr>
        <xdr:cNvSpPr txBox="1"/>
      </xdr:nvSpPr>
      <xdr:spPr>
        <a:xfrm>
          <a:off x="983240" y="13707250"/>
          <a:ext cx="509928" cy="482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10</xdr:col>
      <xdr:colOff>476257</xdr:colOff>
      <xdr:row>58</xdr:row>
      <xdr:rowOff>113345</xdr:rowOff>
    </xdr:from>
    <xdr:to>
      <xdr:col>11</xdr:col>
      <xdr:colOff>83489</xdr:colOff>
      <xdr:row>59</xdr:row>
      <xdr:rowOff>210540</xdr:rowOff>
    </xdr:to>
    <xdr:sp macro="" textlink="">
      <xdr:nvSpPr>
        <xdr:cNvPr id="7" name="TextBox 6">
          <a:extLst>
            <a:ext uri="{FF2B5EF4-FFF2-40B4-BE49-F238E27FC236}">
              <a16:creationId xmlns:a16="http://schemas.microsoft.com/office/drawing/2014/main" id="{5421E37D-5A3A-41B3-B369-E40B05252AE0}"/>
            </a:ext>
          </a:extLst>
        </xdr:cNvPr>
        <xdr:cNvSpPr txBox="1"/>
      </xdr:nvSpPr>
      <xdr:spPr>
        <a:xfrm>
          <a:off x="8705857" y="13097825"/>
          <a:ext cx="369232" cy="31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10</xdr:col>
      <xdr:colOff>515837</xdr:colOff>
      <xdr:row>61</xdr:row>
      <xdr:rowOff>136113</xdr:rowOff>
    </xdr:from>
    <xdr:to>
      <xdr:col>11</xdr:col>
      <xdr:colOff>108396</xdr:colOff>
      <xdr:row>62</xdr:row>
      <xdr:rowOff>193304</xdr:rowOff>
    </xdr:to>
    <xdr:sp macro="" textlink="">
      <xdr:nvSpPr>
        <xdr:cNvPr id="8" name="TextBox 7">
          <a:extLst>
            <a:ext uri="{FF2B5EF4-FFF2-40B4-BE49-F238E27FC236}">
              <a16:creationId xmlns:a16="http://schemas.microsoft.com/office/drawing/2014/main" id="{9760A54F-8AC7-4D04-A912-9010977AC6FA}"/>
            </a:ext>
          </a:extLst>
        </xdr:cNvPr>
        <xdr:cNvSpPr txBox="1"/>
      </xdr:nvSpPr>
      <xdr:spPr>
        <a:xfrm>
          <a:off x="8745437" y="13783533"/>
          <a:ext cx="354559" cy="278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10</xdr:col>
      <xdr:colOff>537195</xdr:colOff>
      <xdr:row>60</xdr:row>
      <xdr:rowOff>165506</xdr:rowOff>
    </xdr:from>
    <xdr:to>
      <xdr:col>11</xdr:col>
      <xdr:colOff>130556</xdr:colOff>
      <xdr:row>62</xdr:row>
      <xdr:rowOff>20187</xdr:rowOff>
    </xdr:to>
    <xdr:sp macro="" textlink="">
      <xdr:nvSpPr>
        <xdr:cNvPr id="9" name="TextBox 8">
          <a:extLst>
            <a:ext uri="{FF2B5EF4-FFF2-40B4-BE49-F238E27FC236}">
              <a16:creationId xmlns:a16="http://schemas.microsoft.com/office/drawing/2014/main" id="{6B0C2BEF-B246-4DFA-AD86-BDE15379C0AE}"/>
            </a:ext>
          </a:extLst>
        </xdr:cNvPr>
        <xdr:cNvSpPr txBox="1"/>
      </xdr:nvSpPr>
      <xdr:spPr>
        <a:xfrm>
          <a:off x="8766795" y="13591946"/>
          <a:ext cx="355361" cy="29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10</xdr:col>
      <xdr:colOff>482659</xdr:colOff>
      <xdr:row>56</xdr:row>
      <xdr:rowOff>25076</xdr:rowOff>
    </xdr:from>
    <xdr:to>
      <xdr:col>11</xdr:col>
      <xdr:colOff>103943</xdr:colOff>
      <xdr:row>57</xdr:row>
      <xdr:rowOff>60261</xdr:rowOff>
    </xdr:to>
    <xdr:sp macro="" textlink="">
      <xdr:nvSpPr>
        <xdr:cNvPr id="10" name="TextBox 9">
          <a:extLst>
            <a:ext uri="{FF2B5EF4-FFF2-40B4-BE49-F238E27FC236}">
              <a16:creationId xmlns:a16="http://schemas.microsoft.com/office/drawing/2014/main" id="{E308A04B-13BE-4A5C-93BB-C176B1BF56EE}"/>
            </a:ext>
          </a:extLst>
        </xdr:cNvPr>
        <xdr:cNvSpPr txBox="1"/>
      </xdr:nvSpPr>
      <xdr:spPr>
        <a:xfrm>
          <a:off x="8712259" y="12567596"/>
          <a:ext cx="383284" cy="256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48</xdr:row>
      <xdr:rowOff>0</xdr:rowOff>
    </xdr:from>
    <xdr:to>
      <xdr:col>11</xdr:col>
      <xdr:colOff>80907</xdr:colOff>
      <xdr:row>69</xdr:row>
      <xdr:rowOff>191486</xdr:rowOff>
    </xdr:to>
    <xdr:graphicFrame macro="">
      <xdr:nvGraphicFramePr>
        <xdr:cNvPr id="11" name="차트 10">
          <a:extLst>
            <a:ext uri="{FF2B5EF4-FFF2-40B4-BE49-F238E27FC236}">
              <a16:creationId xmlns:a16="http://schemas.microsoft.com/office/drawing/2014/main" id="{88B8B6F2-D917-426B-BBF9-2BAA2DFAB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BFD6A64D-BD9F-4451-BF4B-4BF9FA870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2035434</xdr:colOff>
      <xdr:row>3</xdr:row>
      <xdr:rowOff>113964</xdr:rowOff>
    </xdr:from>
    <xdr:to>
      <xdr:col>22</xdr:col>
      <xdr:colOff>397920</xdr:colOff>
      <xdr:row>20</xdr:row>
      <xdr:rowOff>130661</xdr:rowOff>
    </xdr:to>
    <xdr:graphicFrame macro="">
      <xdr:nvGraphicFramePr>
        <xdr:cNvPr id="4" name="차트 3">
          <a:extLst>
            <a:ext uri="{FF2B5EF4-FFF2-40B4-BE49-F238E27FC236}">
              <a16:creationId xmlns:a16="http://schemas.microsoft.com/office/drawing/2014/main" id="{36CB2B82-0F1F-43E2-B116-5E4C1EBE2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354317</xdr:colOff>
      <xdr:row>62</xdr:row>
      <xdr:rowOff>199052</xdr:rowOff>
    </xdr:from>
    <xdr:to>
      <xdr:col>1</xdr:col>
      <xdr:colOff>901696</xdr:colOff>
      <xdr:row>65</xdr:row>
      <xdr:rowOff>3466</xdr:rowOff>
    </xdr:to>
    <xdr:sp macro="" textlink="">
      <xdr:nvSpPr>
        <xdr:cNvPr id="5" name="TextBox 4">
          <a:extLst>
            <a:ext uri="{FF2B5EF4-FFF2-40B4-BE49-F238E27FC236}">
              <a16:creationId xmlns:a16="http://schemas.microsoft.com/office/drawing/2014/main" id="{1315BEE0-25C4-4936-B573-6C8B70DB79EA}"/>
            </a:ext>
          </a:extLst>
        </xdr:cNvPr>
        <xdr:cNvSpPr txBox="1"/>
      </xdr:nvSpPr>
      <xdr:spPr>
        <a:xfrm>
          <a:off x="1022604" y="14179294"/>
          <a:ext cx="547379" cy="472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343160</xdr:colOff>
      <xdr:row>64</xdr:row>
      <xdr:rowOff>44590</xdr:rowOff>
    </xdr:from>
    <xdr:to>
      <xdr:col>1</xdr:col>
      <xdr:colOff>853088</xdr:colOff>
      <xdr:row>66</xdr:row>
      <xdr:rowOff>84919</xdr:rowOff>
    </xdr:to>
    <xdr:sp macro="" textlink="">
      <xdr:nvSpPr>
        <xdr:cNvPr id="6" name="TextBox 5">
          <a:extLst>
            <a:ext uri="{FF2B5EF4-FFF2-40B4-BE49-F238E27FC236}">
              <a16:creationId xmlns:a16="http://schemas.microsoft.com/office/drawing/2014/main" id="{7DC58C08-8529-4F56-AA36-9C0BB5FFA3D8}"/>
            </a:ext>
          </a:extLst>
        </xdr:cNvPr>
        <xdr:cNvSpPr txBox="1"/>
      </xdr:nvSpPr>
      <xdr:spPr>
        <a:xfrm>
          <a:off x="1011447" y="14470356"/>
          <a:ext cx="509928" cy="485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10</xdr:col>
      <xdr:colOff>445777</xdr:colOff>
      <xdr:row>60</xdr:row>
      <xdr:rowOff>29525</xdr:rowOff>
    </xdr:from>
    <xdr:to>
      <xdr:col>11</xdr:col>
      <xdr:colOff>53009</xdr:colOff>
      <xdr:row>61</xdr:row>
      <xdr:rowOff>126720</xdr:rowOff>
    </xdr:to>
    <xdr:sp macro="" textlink="">
      <xdr:nvSpPr>
        <xdr:cNvPr id="7" name="TextBox 6">
          <a:extLst>
            <a:ext uri="{FF2B5EF4-FFF2-40B4-BE49-F238E27FC236}">
              <a16:creationId xmlns:a16="http://schemas.microsoft.com/office/drawing/2014/main" id="{28C78342-EC4E-48F8-8CD0-3B549ECEC6E7}"/>
            </a:ext>
          </a:extLst>
        </xdr:cNvPr>
        <xdr:cNvSpPr txBox="1"/>
      </xdr:nvSpPr>
      <xdr:spPr>
        <a:xfrm>
          <a:off x="8676965" y="13531213"/>
          <a:ext cx="369232" cy="319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10</xdr:col>
      <xdr:colOff>454877</xdr:colOff>
      <xdr:row>63</xdr:row>
      <xdr:rowOff>166593</xdr:rowOff>
    </xdr:from>
    <xdr:to>
      <xdr:col>11</xdr:col>
      <xdr:colOff>47436</xdr:colOff>
      <xdr:row>65</xdr:row>
      <xdr:rowOff>2804</xdr:rowOff>
    </xdr:to>
    <xdr:sp macro="" textlink="">
      <xdr:nvSpPr>
        <xdr:cNvPr id="8" name="TextBox 7">
          <a:extLst>
            <a:ext uri="{FF2B5EF4-FFF2-40B4-BE49-F238E27FC236}">
              <a16:creationId xmlns:a16="http://schemas.microsoft.com/office/drawing/2014/main" id="{0803A513-9660-46DE-887D-983DB58CC345}"/>
            </a:ext>
          </a:extLst>
        </xdr:cNvPr>
        <xdr:cNvSpPr txBox="1"/>
      </xdr:nvSpPr>
      <xdr:spPr>
        <a:xfrm>
          <a:off x="8681250" y="14120978"/>
          <a:ext cx="355079" cy="27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10</xdr:col>
      <xdr:colOff>468615</xdr:colOff>
      <xdr:row>64</xdr:row>
      <xdr:rowOff>81686</xdr:rowOff>
    </xdr:from>
    <xdr:to>
      <xdr:col>11</xdr:col>
      <xdr:colOff>61976</xdr:colOff>
      <xdr:row>65</xdr:row>
      <xdr:rowOff>157347</xdr:rowOff>
    </xdr:to>
    <xdr:sp macro="" textlink="">
      <xdr:nvSpPr>
        <xdr:cNvPr id="9" name="TextBox 8">
          <a:extLst>
            <a:ext uri="{FF2B5EF4-FFF2-40B4-BE49-F238E27FC236}">
              <a16:creationId xmlns:a16="http://schemas.microsoft.com/office/drawing/2014/main" id="{24C72F7B-A10D-4C50-8FB6-57699212FA5E}"/>
            </a:ext>
          </a:extLst>
        </xdr:cNvPr>
        <xdr:cNvSpPr txBox="1"/>
      </xdr:nvSpPr>
      <xdr:spPr>
        <a:xfrm>
          <a:off x="8694988" y="14254678"/>
          <a:ext cx="355881" cy="294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10</xdr:col>
      <xdr:colOff>475039</xdr:colOff>
      <xdr:row>61</xdr:row>
      <xdr:rowOff>146996</xdr:rowOff>
    </xdr:from>
    <xdr:to>
      <xdr:col>11</xdr:col>
      <xdr:colOff>96323</xdr:colOff>
      <xdr:row>62</xdr:row>
      <xdr:rowOff>182181</xdr:rowOff>
    </xdr:to>
    <xdr:sp macro="" textlink="">
      <xdr:nvSpPr>
        <xdr:cNvPr id="10" name="TextBox 9">
          <a:extLst>
            <a:ext uri="{FF2B5EF4-FFF2-40B4-BE49-F238E27FC236}">
              <a16:creationId xmlns:a16="http://schemas.microsoft.com/office/drawing/2014/main" id="{3C0822E6-6452-4A24-AD76-0AF7D0DE0B37}"/>
            </a:ext>
          </a:extLst>
        </xdr:cNvPr>
        <xdr:cNvSpPr txBox="1"/>
      </xdr:nvSpPr>
      <xdr:spPr>
        <a:xfrm>
          <a:off x="8701412" y="13664168"/>
          <a:ext cx="383804" cy="253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672353</xdr:colOff>
      <xdr:row>47</xdr:row>
      <xdr:rowOff>78441</xdr:rowOff>
    </xdr:from>
    <xdr:to>
      <xdr:col>11</xdr:col>
      <xdr:colOff>57933</xdr:colOff>
      <xdr:row>68</xdr:row>
      <xdr:rowOff>24822</xdr:rowOff>
    </xdr:to>
    <xdr:graphicFrame macro="">
      <xdr:nvGraphicFramePr>
        <xdr:cNvPr id="2" name="차트 1">
          <a:extLst>
            <a:ext uri="{FF2B5EF4-FFF2-40B4-BE49-F238E27FC236}">
              <a16:creationId xmlns:a16="http://schemas.microsoft.com/office/drawing/2014/main" id="{C738BFE3-E5B3-4BC5-B856-5CE4B08E7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1E88A812-9975-4E59-8B07-F4F117D33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2035434</xdr:colOff>
      <xdr:row>3</xdr:row>
      <xdr:rowOff>113964</xdr:rowOff>
    </xdr:from>
    <xdr:to>
      <xdr:col>22</xdr:col>
      <xdr:colOff>392205</xdr:colOff>
      <xdr:row>20</xdr:row>
      <xdr:rowOff>6164</xdr:rowOff>
    </xdr:to>
    <xdr:graphicFrame macro="">
      <xdr:nvGraphicFramePr>
        <xdr:cNvPr id="4" name="차트 3">
          <a:extLst>
            <a:ext uri="{FF2B5EF4-FFF2-40B4-BE49-F238E27FC236}">
              <a16:creationId xmlns:a16="http://schemas.microsoft.com/office/drawing/2014/main" id="{F119A9D8-D824-4B77-A69C-F708731CE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316796</xdr:colOff>
      <xdr:row>58</xdr:row>
      <xdr:rowOff>80968</xdr:rowOff>
    </xdr:from>
    <xdr:to>
      <xdr:col>1</xdr:col>
      <xdr:colOff>848936</xdr:colOff>
      <xdr:row>60</xdr:row>
      <xdr:rowOff>112908</xdr:rowOff>
    </xdr:to>
    <xdr:sp macro="" textlink="">
      <xdr:nvSpPr>
        <xdr:cNvPr id="5" name="TextBox 4">
          <a:extLst>
            <a:ext uri="{FF2B5EF4-FFF2-40B4-BE49-F238E27FC236}">
              <a16:creationId xmlns:a16="http://schemas.microsoft.com/office/drawing/2014/main" id="{25AF620C-C501-4E6D-A9A4-4F409A7928AB}"/>
            </a:ext>
          </a:extLst>
        </xdr:cNvPr>
        <xdr:cNvSpPr txBox="1"/>
      </xdr:nvSpPr>
      <xdr:spPr>
        <a:xfrm>
          <a:off x="1002596" y="12349168"/>
          <a:ext cx="532140" cy="45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xdr:col>
      <xdr:colOff>310530</xdr:colOff>
      <xdr:row>60</xdr:row>
      <xdr:rowOff>42685</xdr:rowOff>
    </xdr:from>
    <xdr:to>
      <xdr:col>1</xdr:col>
      <xdr:colOff>821410</xdr:colOff>
      <xdr:row>62</xdr:row>
      <xdr:rowOff>83014</xdr:rowOff>
    </xdr:to>
    <xdr:sp macro="" textlink="">
      <xdr:nvSpPr>
        <xdr:cNvPr id="6" name="TextBox 5">
          <a:extLst>
            <a:ext uri="{FF2B5EF4-FFF2-40B4-BE49-F238E27FC236}">
              <a16:creationId xmlns:a16="http://schemas.microsoft.com/office/drawing/2014/main" id="{C0420681-FE96-438D-A211-FEA9645BB519}"/>
            </a:ext>
          </a:extLst>
        </xdr:cNvPr>
        <xdr:cNvSpPr txBox="1"/>
      </xdr:nvSpPr>
      <xdr:spPr>
        <a:xfrm>
          <a:off x="996330" y="12729985"/>
          <a:ext cx="510880" cy="459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10</xdr:col>
      <xdr:colOff>365449</xdr:colOff>
      <xdr:row>55</xdr:row>
      <xdr:rowOff>188275</xdr:rowOff>
    </xdr:from>
    <xdr:to>
      <xdr:col>10</xdr:col>
      <xdr:colOff>733729</xdr:colOff>
      <xdr:row>57</xdr:row>
      <xdr:rowOff>62267</xdr:rowOff>
    </xdr:to>
    <xdr:sp macro="" textlink="">
      <xdr:nvSpPr>
        <xdr:cNvPr id="7" name="TextBox 6">
          <a:extLst>
            <a:ext uri="{FF2B5EF4-FFF2-40B4-BE49-F238E27FC236}">
              <a16:creationId xmlns:a16="http://schemas.microsoft.com/office/drawing/2014/main" id="{A1A4B5C2-06C8-4ECF-9491-A2666951D5E0}"/>
            </a:ext>
          </a:extLst>
        </xdr:cNvPr>
        <xdr:cNvSpPr txBox="1"/>
      </xdr:nvSpPr>
      <xdr:spPr>
        <a:xfrm>
          <a:off x="8608237" y="11969967"/>
          <a:ext cx="368280" cy="298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10</xdr:col>
      <xdr:colOff>384091</xdr:colOff>
      <xdr:row>60</xdr:row>
      <xdr:rowOff>12404</xdr:rowOff>
    </xdr:from>
    <xdr:to>
      <xdr:col>10</xdr:col>
      <xdr:colOff>739019</xdr:colOff>
      <xdr:row>61</xdr:row>
      <xdr:rowOff>69127</xdr:rowOff>
    </xdr:to>
    <xdr:sp macro="" textlink="">
      <xdr:nvSpPr>
        <xdr:cNvPr id="8" name="TextBox 7">
          <a:extLst>
            <a:ext uri="{FF2B5EF4-FFF2-40B4-BE49-F238E27FC236}">
              <a16:creationId xmlns:a16="http://schemas.microsoft.com/office/drawing/2014/main" id="{200DA325-FDDE-4018-A0E6-5D274AB5A3DC}"/>
            </a:ext>
          </a:extLst>
        </xdr:cNvPr>
        <xdr:cNvSpPr txBox="1"/>
      </xdr:nvSpPr>
      <xdr:spPr>
        <a:xfrm>
          <a:off x="8632741" y="12699704"/>
          <a:ext cx="354928" cy="266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10</xdr:col>
      <xdr:colOff>380131</xdr:colOff>
      <xdr:row>59</xdr:row>
      <xdr:rowOff>76482</xdr:rowOff>
    </xdr:from>
    <xdr:to>
      <xdr:col>10</xdr:col>
      <xdr:colOff>734107</xdr:colOff>
      <xdr:row>60</xdr:row>
      <xdr:rowOff>152142</xdr:rowOff>
    </xdr:to>
    <xdr:sp macro="" textlink="">
      <xdr:nvSpPr>
        <xdr:cNvPr id="9" name="TextBox 8">
          <a:extLst>
            <a:ext uri="{FF2B5EF4-FFF2-40B4-BE49-F238E27FC236}">
              <a16:creationId xmlns:a16="http://schemas.microsoft.com/office/drawing/2014/main" id="{E992A419-1525-4064-B945-B5B2FD7C8852}"/>
            </a:ext>
          </a:extLst>
        </xdr:cNvPr>
        <xdr:cNvSpPr txBox="1"/>
      </xdr:nvSpPr>
      <xdr:spPr>
        <a:xfrm>
          <a:off x="8622919" y="12708097"/>
          <a:ext cx="353976" cy="288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10</xdr:col>
      <xdr:colOff>392712</xdr:colOff>
      <xdr:row>58</xdr:row>
      <xdr:rowOff>57560</xdr:rowOff>
    </xdr:from>
    <xdr:to>
      <xdr:col>11</xdr:col>
      <xdr:colOff>13996</xdr:colOff>
      <xdr:row>59</xdr:row>
      <xdr:rowOff>94650</xdr:rowOff>
    </xdr:to>
    <xdr:sp macro="" textlink="">
      <xdr:nvSpPr>
        <xdr:cNvPr id="10" name="TextBox 9">
          <a:extLst>
            <a:ext uri="{FF2B5EF4-FFF2-40B4-BE49-F238E27FC236}">
              <a16:creationId xmlns:a16="http://schemas.microsoft.com/office/drawing/2014/main" id="{6CB3200D-072A-41F2-8FB9-CAAAFD90CDA2}"/>
            </a:ext>
          </a:extLst>
        </xdr:cNvPr>
        <xdr:cNvSpPr txBox="1"/>
      </xdr:nvSpPr>
      <xdr:spPr>
        <a:xfrm>
          <a:off x="8635500" y="12476695"/>
          <a:ext cx="383284" cy="24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528919</xdr:colOff>
      <xdr:row>47</xdr:row>
      <xdr:rowOff>143450</xdr:rowOff>
    </xdr:from>
    <xdr:to>
      <xdr:col>12</xdr:col>
      <xdr:colOff>510988</xdr:colOff>
      <xdr:row>69</xdr:row>
      <xdr:rowOff>63985</xdr:rowOff>
    </xdr:to>
    <xdr:graphicFrame macro="">
      <xdr:nvGraphicFramePr>
        <xdr:cNvPr id="11" name="차트 10">
          <a:extLst>
            <a:ext uri="{FF2B5EF4-FFF2-40B4-BE49-F238E27FC236}">
              <a16:creationId xmlns:a16="http://schemas.microsoft.com/office/drawing/2014/main" id="{A3C1D3D1-1CEC-4D51-9C95-F7F0C88C2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C545E713-57C9-4AB5-B8C3-AEBD2C352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2080257</xdr:colOff>
      <xdr:row>3</xdr:row>
      <xdr:rowOff>136375</xdr:rowOff>
    </xdr:from>
    <xdr:to>
      <xdr:col>22</xdr:col>
      <xdr:colOff>437028</xdr:colOff>
      <xdr:row>19</xdr:row>
      <xdr:rowOff>132566</xdr:rowOff>
    </xdr:to>
    <xdr:graphicFrame macro="">
      <xdr:nvGraphicFramePr>
        <xdr:cNvPr id="4" name="차트 3">
          <a:extLst>
            <a:ext uri="{FF2B5EF4-FFF2-40B4-BE49-F238E27FC236}">
              <a16:creationId xmlns:a16="http://schemas.microsoft.com/office/drawing/2014/main" id="{6C35827A-8941-466F-9643-90C502101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131085</xdr:colOff>
      <xdr:row>61</xdr:row>
      <xdr:rowOff>63423</xdr:rowOff>
    </xdr:from>
    <xdr:to>
      <xdr:col>13</xdr:col>
      <xdr:colOff>61804</xdr:colOff>
      <xdr:row>63</xdr:row>
      <xdr:rowOff>95363</xdr:rowOff>
    </xdr:to>
    <xdr:sp macro="" textlink="">
      <xdr:nvSpPr>
        <xdr:cNvPr id="5" name="TextBox 4">
          <a:extLst>
            <a:ext uri="{FF2B5EF4-FFF2-40B4-BE49-F238E27FC236}">
              <a16:creationId xmlns:a16="http://schemas.microsoft.com/office/drawing/2014/main" id="{3BE6D729-7CC4-48AD-91F2-F1F13DAF3128}"/>
            </a:ext>
          </a:extLst>
        </xdr:cNvPr>
        <xdr:cNvSpPr txBox="1"/>
      </xdr:nvSpPr>
      <xdr:spPr>
        <a:xfrm>
          <a:off x="9768144" y="13653917"/>
          <a:ext cx="531354" cy="462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51.12</a:t>
          </a:r>
          <a:br>
            <a:rPr lang="en-US" altLang="ko-KR" sz="800" b="1">
              <a:solidFill>
                <a:srgbClr val="FF0000"/>
              </a:solidFill>
            </a:rPr>
          </a:br>
          <a:r>
            <a:rPr lang="en-US" altLang="ko-KR" sz="800" b="1">
              <a:solidFill>
                <a:srgbClr val="FF0000"/>
              </a:solidFill>
            </a:rPr>
            <a:t>(75%)</a:t>
          </a:r>
          <a:endParaRPr lang="ko-KR" altLang="en-US" sz="800" b="1">
            <a:solidFill>
              <a:srgbClr val="FF0000"/>
            </a:solidFill>
          </a:endParaRPr>
        </a:p>
      </xdr:txBody>
    </xdr:sp>
    <xdr:clientData/>
  </xdr:twoCellAnchor>
  <xdr:twoCellAnchor>
    <xdr:from>
      <xdr:col>12</xdr:col>
      <xdr:colOff>144305</xdr:colOff>
      <xdr:row>62</xdr:row>
      <xdr:rowOff>99872</xdr:rowOff>
    </xdr:from>
    <xdr:to>
      <xdr:col>13</xdr:col>
      <xdr:colOff>54716</xdr:colOff>
      <xdr:row>64</xdr:row>
      <xdr:rowOff>140202</xdr:rowOff>
    </xdr:to>
    <xdr:sp macro="" textlink="">
      <xdr:nvSpPr>
        <xdr:cNvPr id="6" name="TextBox 5">
          <a:extLst>
            <a:ext uri="{FF2B5EF4-FFF2-40B4-BE49-F238E27FC236}">
              <a16:creationId xmlns:a16="http://schemas.microsoft.com/office/drawing/2014/main" id="{127E9E42-828E-4331-B3F1-A13C62A544A9}"/>
            </a:ext>
          </a:extLst>
        </xdr:cNvPr>
        <xdr:cNvSpPr txBox="1"/>
      </xdr:nvSpPr>
      <xdr:spPr>
        <a:xfrm>
          <a:off x="9781364" y="13905519"/>
          <a:ext cx="511046" cy="47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FF0000"/>
              </a:solidFill>
            </a:rPr>
            <a:t>23.75</a:t>
          </a:r>
          <a:br>
            <a:rPr lang="en-US" altLang="ko-KR" sz="800" b="1">
              <a:solidFill>
                <a:srgbClr val="FF0000"/>
              </a:solidFill>
            </a:rPr>
          </a:br>
          <a:r>
            <a:rPr lang="en-US" altLang="ko-KR" sz="800" b="1">
              <a:solidFill>
                <a:srgbClr val="FF0000"/>
              </a:solidFill>
            </a:rPr>
            <a:t>(25%)</a:t>
          </a:r>
          <a:endParaRPr lang="ko-KR" altLang="en-US" sz="800" b="1">
            <a:solidFill>
              <a:srgbClr val="FF0000"/>
            </a:solidFill>
          </a:endParaRPr>
        </a:p>
      </xdr:txBody>
    </xdr:sp>
    <xdr:clientData/>
  </xdr:twoCellAnchor>
  <xdr:twoCellAnchor>
    <xdr:from>
      <xdr:col>12</xdr:col>
      <xdr:colOff>146413</xdr:colOff>
      <xdr:row>52</xdr:row>
      <xdr:rowOff>95242</xdr:rowOff>
    </xdr:from>
    <xdr:to>
      <xdr:col>12</xdr:col>
      <xdr:colOff>511141</xdr:colOff>
      <xdr:row>53</xdr:row>
      <xdr:rowOff>176879</xdr:rowOff>
    </xdr:to>
    <xdr:sp macro="" textlink="">
      <xdr:nvSpPr>
        <xdr:cNvPr id="7" name="TextBox 6">
          <a:extLst>
            <a:ext uri="{FF2B5EF4-FFF2-40B4-BE49-F238E27FC236}">
              <a16:creationId xmlns:a16="http://schemas.microsoft.com/office/drawing/2014/main" id="{E3394ECB-01D5-4D06-9AF1-AFF4DF47D0E0}"/>
            </a:ext>
          </a:extLst>
        </xdr:cNvPr>
        <xdr:cNvSpPr txBox="1"/>
      </xdr:nvSpPr>
      <xdr:spPr>
        <a:xfrm>
          <a:off x="9749854" y="11267507"/>
          <a:ext cx="364728" cy="294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12</xdr:col>
      <xdr:colOff>179910</xdr:colOff>
      <xdr:row>58</xdr:row>
      <xdr:rowOff>79946</xdr:rowOff>
    </xdr:from>
    <xdr:to>
      <xdr:col>12</xdr:col>
      <xdr:colOff>530334</xdr:colOff>
      <xdr:row>59</xdr:row>
      <xdr:rowOff>145501</xdr:rowOff>
    </xdr:to>
    <xdr:sp macro="" textlink="">
      <xdr:nvSpPr>
        <xdr:cNvPr id="8" name="TextBox 7">
          <a:extLst>
            <a:ext uri="{FF2B5EF4-FFF2-40B4-BE49-F238E27FC236}">
              <a16:creationId xmlns:a16="http://schemas.microsoft.com/office/drawing/2014/main" id="{043EEF35-9AC8-4686-BC99-9C41CD070B95}"/>
            </a:ext>
          </a:extLst>
        </xdr:cNvPr>
        <xdr:cNvSpPr txBox="1"/>
      </xdr:nvSpPr>
      <xdr:spPr>
        <a:xfrm>
          <a:off x="9816969" y="13024981"/>
          <a:ext cx="350424" cy="280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12</xdr:col>
      <xdr:colOff>196319</xdr:colOff>
      <xdr:row>59</xdr:row>
      <xdr:rowOff>118538</xdr:rowOff>
    </xdr:from>
    <xdr:to>
      <xdr:col>12</xdr:col>
      <xdr:colOff>550553</xdr:colOff>
      <xdr:row>60</xdr:row>
      <xdr:rowOff>193505</xdr:rowOff>
    </xdr:to>
    <xdr:sp macro="" textlink="">
      <xdr:nvSpPr>
        <xdr:cNvPr id="9" name="TextBox 8">
          <a:extLst>
            <a:ext uri="{FF2B5EF4-FFF2-40B4-BE49-F238E27FC236}">
              <a16:creationId xmlns:a16="http://schemas.microsoft.com/office/drawing/2014/main" id="{A3DD27CE-127D-4229-AB2A-0438BB8BC7D9}"/>
            </a:ext>
          </a:extLst>
        </xdr:cNvPr>
        <xdr:cNvSpPr txBox="1"/>
      </xdr:nvSpPr>
      <xdr:spPr>
        <a:xfrm>
          <a:off x="9833378" y="13278726"/>
          <a:ext cx="354234" cy="290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12</xdr:col>
      <xdr:colOff>196309</xdr:colOff>
      <xdr:row>60</xdr:row>
      <xdr:rowOff>64600</xdr:rowOff>
    </xdr:from>
    <xdr:to>
      <xdr:col>12</xdr:col>
      <xdr:colOff>576261</xdr:colOff>
      <xdr:row>61</xdr:row>
      <xdr:rowOff>108546</xdr:rowOff>
    </xdr:to>
    <xdr:sp macro="" textlink="">
      <xdr:nvSpPr>
        <xdr:cNvPr id="10" name="TextBox 9">
          <a:extLst>
            <a:ext uri="{FF2B5EF4-FFF2-40B4-BE49-F238E27FC236}">
              <a16:creationId xmlns:a16="http://schemas.microsoft.com/office/drawing/2014/main" id="{A940CF54-AB9E-44FB-B3E8-21DBBC09E399}"/>
            </a:ext>
          </a:extLst>
        </xdr:cNvPr>
        <xdr:cNvSpPr txBox="1"/>
      </xdr:nvSpPr>
      <xdr:spPr>
        <a:xfrm>
          <a:off x="9833368" y="13439941"/>
          <a:ext cx="379952" cy="25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57150</xdr:colOff>
      <xdr:row>47</xdr:row>
      <xdr:rowOff>171450</xdr:rowOff>
    </xdr:from>
    <xdr:to>
      <xdr:col>11</xdr:col>
      <xdr:colOff>152400</xdr:colOff>
      <xdr:row>68</xdr:row>
      <xdr:rowOff>104775</xdr:rowOff>
    </xdr:to>
    <xdr:graphicFrame macro="">
      <xdr:nvGraphicFramePr>
        <xdr:cNvPr id="11" name="차트 10">
          <a:extLst>
            <a:ext uri="{FF2B5EF4-FFF2-40B4-BE49-F238E27FC236}">
              <a16:creationId xmlns:a16="http://schemas.microsoft.com/office/drawing/2014/main" id="{7DB99058-5731-4F5E-AA04-42F0B7F91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CFDB6E11-F7FA-46E1-BAA4-C3D7AA1BE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2080257</xdr:colOff>
      <xdr:row>3</xdr:row>
      <xdr:rowOff>136375</xdr:rowOff>
    </xdr:from>
    <xdr:to>
      <xdr:col>22</xdr:col>
      <xdr:colOff>437028</xdr:colOff>
      <xdr:row>19</xdr:row>
      <xdr:rowOff>132566</xdr:rowOff>
    </xdr:to>
    <xdr:graphicFrame macro="">
      <xdr:nvGraphicFramePr>
        <xdr:cNvPr id="4" name="차트 3">
          <a:extLst>
            <a:ext uri="{FF2B5EF4-FFF2-40B4-BE49-F238E27FC236}">
              <a16:creationId xmlns:a16="http://schemas.microsoft.com/office/drawing/2014/main" id="{438B1516-81D3-4645-89CA-DF09D57E1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439872</xdr:colOff>
      <xdr:row>49</xdr:row>
      <xdr:rowOff>58924</xdr:rowOff>
    </xdr:from>
    <xdr:to>
      <xdr:col>11</xdr:col>
      <xdr:colOff>218815</xdr:colOff>
      <xdr:row>51</xdr:row>
      <xdr:rowOff>152400</xdr:rowOff>
    </xdr:to>
    <xdr:sp macro="" textlink="">
      <xdr:nvSpPr>
        <xdr:cNvPr id="5" name="TextBox 4">
          <a:extLst>
            <a:ext uri="{FF2B5EF4-FFF2-40B4-BE49-F238E27FC236}">
              <a16:creationId xmlns:a16="http://schemas.microsoft.com/office/drawing/2014/main" id="{A4E81FFC-6E32-47E9-A551-E1097332A16D}"/>
            </a:ext>
          </a:extLst>
        </xdr:cNvPr>
        <xdr:cNvSpPr txBox="1"/>
      </xdr:nvSpPr>
      <xdr:spPr>
        <a:xfrm>
          <a:off x="8688522" y="10803124"/>
          <a:ext cx="540943" cy="512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51.12</a:t>
          </a:r>
          <a:br>
            <a:rPr lang="en-US" altLang="ko-KR" sz="1100" b="1">
              <a:solidFill>
                <a:srgbClr val="FF0000"/>
              </a:solidFill>
            </a:rPr>
          </a:br>
          <a:r>
            <a:rPr lang="en-US" altLang="ko-KR" sz="1100" b="1">
              <a:solidFill>
                <a:srgbClr val="FF0000"/>
              </a:solidFill>
            </a:rPr>
            <a:t>(75%)</a:t>
          </a:r>
          <a:endParaRPr lang="ko-KR" altLang="en-US" sz="1100" b="1">
            <a:solidFill>
              <a:srgbClr val="FF0000"/>
            </a:solidFill>
          </a:endParaRPr>
        </a:p>
      </xdr:txBody>
    </xdr:sp>
    <xdr:clientData/>
  </xdr:twoCellAnchor>
  <xdr:twoCellAnchor>
    <xdr:from>
      <xdr:col>10</xdr:col>
      <xdr:colOff>458054</xdr:colOff>
      <xdr:row>56</xdr:row>
      <xdr:rowOff>196564</xdr:rowOff>
    </xdr:from>
    <xdr:to>
      <xdr:col>11</xdr:col>
      <xdr:colOff>201401</xdr:colOff>
      <xdr:row>59</xdr:row>
      <xdr:rowOff>57149</xdr:rowOff>
    </xdr:to>
    <xdr:sp macro="" textlink="">
      <xdr:nvSpPr>
        <xdr:cNvPr id="6" name="TextBox 5">
          <a:extLst>
            <a:ext uri="{FF2B5EF4-FFF2-40B4-BE49-F238E27FC236}">
              <a16:creationId xmlns:a16="http://schemas.microsoft.com/office/drawing/2014/main" id="{94C5BEA9-F24A-49BC-BD78-4031AAA1D6AC}"/>
            </a:ext>
          </a:extLst>
        </xdr:cNvPr>
        <xdr:cNvSpPr txBox="1"/>
      </xdr:nvSpPr>
      <xdr:spPr>
        <a:xfrm>
          <a:off x="8706704" y="12407614"/>
          <a:ext cx="505347" cy="489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23.75</a:t>
          </a:r>
          <a:br>
            <a:rPr lang="en-US" altLang="ko-KR" sz="1100" b="1">
              <a:solidFill>
                <a:srgbClr val="FF0000"/>
              </a:solidFill>
            </a:rPr>
          </a:br>
          <a:r>
            <a:rPr lang="en-US" altLang="ko-KR" sz="1100" b="1">
              <a:solidFill>
                <a:srgbClr val="FF0000"/>
              </a:solidFill>
            </a:rPr>
            <a:t>(25%)</a:t>
          </a:r>
          <a:endParaRPr lang="ko-KR" altLang="en-US" sz="1100" b="1">
            <a:solidFill>
              <a:srgbClr val="FF0000"/>
            </a:solidFill>
          </a:endParaRPr>
        </a:p>
      </xdr:txBody>
    </xdr:sp>
    <xdr:clientData/>
  </xdr:twoCellAnchor>
  <xdr:twoCellAnchor>
    <xdr:from>
      <xdr:col>1</xdr:col>
      <xdr:colOff>399700</xdr:colOff>
      <xdr:row>53</xdr:row>
      <xdr:rowOff>201555</xdr:rowOff>
    </xdr:from>
    <xdr:to>
      <xdr:col>1</xdr:col>
      <xdr:colOff>770127</xdr:colOff>
      <xdr:row>55</xdr:row>
      <xdr:rowOff>64228</xdr:rowOff>
    </xdr:to>
    <xdr:sp macro="" textlink="">
      <xdr:nvSpPr>
        <xdr:cNvPr id="7" name="TextBox 6">
          <a:extLst>
            <a:ext uri="{FF2B5EF4-FFF2-40B4-BE49-F238E27FC236}">
              <a16:creationId xmlns:a16="http://schemas.microsoft.com/office/drawing/2014/main" id="{53D25A7F-7E20-4394-BA89-F4A9FBFC3B4C}"/>
            </a:ext>
          </a:extLst>
        </xdr:cNvPr>
        <xdr:cNvSpPr txBox="1"/>
      </xdr:nvSpPr>
      <xdr:spPr>
        <a:xfrm>
          <a:off x="1085500" y="11783955"/>
          <a:ext cx="370427" cy="281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xdr:col>
      <xdr:colOff>391928</xdr:colOff>
      <xdr:row>55</xdr:row>
      <xdr:rowOff>76120</xdr:rowOff>
    </xdr:from>
    <xdr:to>
      <xdr:col>1</xdr:col>
      <xdr:colOff>746162</xdr:colOff>
      <xdr:row>56</xdr:row>
      <xdr:rowOff>134055</xdr:rowOff>
    </xdr:to>
    <xdr:sp macro="" textlink="">
      <xdr:nvSpPr>
        <xdr:cNvPr id="8" name="TextBox 7">
          <a:extLst>
            <a:ext uri="{FF2B5EF4-FFF2-40B4-BE49-F238E27FC236}">
              <a16:creationId xmlns:a16="http://schemas.microsoft.com/office/drawing/2014/main" id="{AE916F9B-920C-478A-9066-974FCB64DB8B}"/>
            </a:ext>
          </a:extLst>
        </xdr:cNvPr>
        <xdr:cNvSpPr txBox="1"/>
      </xdr:nvSpPr>
      <xdr:spPr>
        <a:xfrm>
          <a:off x="1077728" y="12077620"/>
          <a:ext cx="354234" cy="267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xdr:col>
      <xdr:colOff>411584</xdr:colOff>
      <xdr:row>52</xdr:row>
      <xdr:rowOff>177464</xdr:rowOff>
    </xdr:from>
    <xdr:to>
      <xdr:col>1</xdr:col>
      <xdr:colOff>777248</xdr:colOff>
      <xdr:row>54</xdr:row>
      <xdr:rowOff>31563</xdr:rowOff>
    </xdr:to>
    <xdr:sp macro="" textlink="">
      <xdr:nvSpPr>
        <xdr:cNvPr id="9" name="TextBox 8">
          <a:extLst>
            <a:ext uri="{FF2B5EF4-FFF2-40B4-BE49-F238E27FC236}">
              <a16:creationId xmlns:a16="http://schemas.microsoft.com/office/drawing/2014/main" id="{8B404583-5970-4680-B51F-4179CE51C76E}"/>
            </a:ext>
          </a:extLst>
        </xdr:cNvPr>
        <xdr:cNvSpPr txBox="1"/>
      </xdr:nvSpPr>
      <xdr:spPr>
        <a:xfrm>
          <a:off x="1097384" y="11550314"/>
          <a:ext cx="365664" cy="27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xdr:col>
      <xdr:colOff>415353</xdr:colOff>
      <xdr:row>49</xdr:row>
      <xdr:rowOff>73550</xdr:rowOff>
    </xdr:from>
    <xdr:to>
      <xdr:col>1</xdr:col>
      <xdr:colOff>793400</xdr:colOff>
      <xdr:row>50</xdr:row>
      <xdr:rowOff>120056</xdr:rowOff>
    </xdr:to>
    <xdr:sp macro="" textlink="">
      <xdr:nvSpPr>
        <xdr:cNvPr id="10" name="TextBox 9">
          <a:extLst>
            <a:ext uri="{FF2B5EF4-FFF2-40B4-BE49-F238E27FC236}">
              <a16:creationId xmlns:a16="http://schemas.microsoft.com/office/drawing/2014/main" id="{49E1FF4B-961E-42D0-AB32-EE381D90B8FF}"/>
            </a:ext>
          </a:extLst>
        </xdr:cNvPr>
        <xdr:cNvSpPr txBox="1"/>
      </xdr:nvSpPr>
      <xdr:spPr>
        <a:xfrm>
          <a:off x="1101153" y="10817750"/>
          <a:ext cx="378047" cy="25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17010</xdr:colOff>
      <xdr:row>47</xdr:row>
      <xdr:rowOff>139610</xdr:rowOff>
    </xdr:from>
    <xdr:to>
      <xdr:col>11</xdr:col>
      <xdr:colOff>358685</xdr:colOff>
      <xdr:row>70</xdr:row>
      <xdr:rowOff>210775</xdr:rowOff>
    </xdr:to>
    <xdr:graphicFrame macro="">
      <xdr:nvGraphicFramePr>
        <xdr:cNvPr id="11" name="차트 10">
          <a:extLst>
            <a:ext uri="{FF2B5EF4-FFF2-40B4-BE49-F238E27FC236}">
              <a16:creationId xmlns:a16="http://schemas.microsoft.com/office/drawing/2014/main" id="{73625F65-2AF3-47C5-B17F-D395786F4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CAEDD41B-AB2F-4A1F-8192-A8DE71EB1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2080257</xdr:colOff>
      <xdr:row>3</xdr:row>
      <xdr:rowOff>136375</xdr:rowOff>
    </xdr:from>
    <xdr:to>
      <xdr:col>22</xdr:col>
      <xdr:colOff>437028</xdr:colOff>
      <xdr:row>19</xdr:row>
      <xdr:rowOff>132566</xdr:rowOff>
    </xdr:to>
    <xdr:graphicFrame macro="">
      <xdr:nvGraphicFramePr>
        <xdr:cNvPr id="4" name="차트 3">
          <a:extLst>
            <a:ext uri="{FF2B5EF4-FFF2-40B4-BE49-F238E27FC236}">
              <a16:creationId xmlns:a16="http://schemas.microsoft.com/office/drawing/2014/main" id="{88DFDE82-4806-4F29-930D-67CD39C20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563697</xdr:colOff>
      <xdr:row>52</xdr:row>
      <xdr:rowOff>163699</xdr:rowOff>
    </xdr:from>
    <xdr:to>
      <xdr:col>11</xdr:col>
      <xdr:colOff>342640</xdr:colOff>
      <xdr:row>54</xdr:row>
      <xdr:rowOff>163697</xdr:rowOff>
    </xdr:to>
    <xdr:sp macro="" textlink="">
      <xdr:nvSpPr>
        <xdr:cNvPr id="5" name="TextBox 4">
          <a:extLst>
            <a:ext uri="{FF2B5EF4-FFF2-40B4-BE49-F238E27FC236}">
              <a16:creationId xmlns:a16="http://schemas.microsoft.com/office/drawing/2014/main" id="{AB9A1F69-E6D2-4E06-961A-BD9AC407FDDD}"/>
            </a:ext>
          </a:extLst>
        </xdr:cNvPr>
        <xdr:cNvSpPr txBox="1"/>
      </xdr:nvSpPr>
      <xdr:spPr>
        <a:xfrm>
          <a:off x="8793297" y="11879449"/>
          <a:ext cx="540943" cy="438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51.12</a:t>
          </a:r>
          <a:br>
            <a:rPr lang="en-US" altLang="ko-KR" sz="1100" b="1">
              <a:solidFill>
                <a:srgbClr val="FF0000"/>
              </a:solidFill>
            </a:rPr>
          </a:br>
          <a:r>
            <a:rPr lang="en-US" altLang="ko-KR" sz="1100" b="1">
              <a:solidFill>
                <a:srgbClr val="FF0000"/>
              </a:solidFill>
            </a:rPr>
            <a:t>(75%)</a:t>
          </a:r>
          <a:endParaRPr lang="ko-KR" altLang="en-US" sz="1100" b="1">
            <a:solidFill>
              <a:srgbClr val="FF0000"/>
            </a:solidFill>
          </a:endParaRPr>
        </a:p>
      </xdr:txBody>
    </xdr:sp>
    <xdr:clientData/>
  </xdr:twoCellAnchor>
  <xdr:twoCellAnchor>
    <xdr:from>
      <xdr:col>10</xdr:col>
      <xdr:colOff>591404</xdr:colOff>
      <xdr:row>59</xdr:row>
      <xdr:rowOff>53690</xdr:rowOff>
    </xdr:from>
    <xdr:to>
      <xdr:col>11</xdr:col>
      <xdr:colOff>334751</xdr:colOff>
      <xdr:row>61</xdr:row>
      <xdr:rowOff>53692</xdr:rowOff>
    </xdr:to>
    <xdr:sp macro="" textlink="">
      <xdr:nvSpPr>
        <xdr:cNvPr id="6" name="TextBox 5">
          <a:extLst>
            <a:ext uri="{FF2B5EF4-FFF2-40B4-BE49-F238E27FC236}">
              <a16:creationId xmlns:a16="http://schemas.microsoft.com/office/drawing/2014/main" id="{F8FD9FD5-611B-4CB8-8203-8F7601B06BC8}"/>
            </a:ext>
          </a:extLst>
        </xdr:cNvPr>
        <xdr:cNvSpPr txBox="1"/>
      </xdr:nvSpPr>
      <xdr:spPr>
        <a:xfrm>
          <a:off x="8821004" y="13302965"/>
          <a:ext cx="505347" cy="4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23.75</a:t>
          </a:r>
          <a:br>
            <a:rPr lang="en-US" altLang="ko-KR" sz="1100" b="1">
              <a:solidFill>
                <a:srgbClr val="FF0000"/>
              </a:solidFill>
            </a:rPr>
          </a:br>
          <a:r>
            <a:rPr lang="en-US" altLang="ko-KR" sz="1100" b="1">
              <a:solidFill>
                <a:srgbClr val="FF0000"/>
              </a:solidFill>
            </a:rPr>
            <a:t>(25%)</a:t>
          </a:r>
          <a:endParaRPr lang="ko-KR" altLang="en-US" sz="1100" b="1">
            <a:solidFill>
              <a:srgbClr val="FF0000"/>
            </a:solidFill>
          </a:endParaRPr>
        </a:p>
      </xdr:txBody>
    </xdr:sp>
    <xdr:clientData/>
  </xdr:twoCellAnchor>
  <xdr:twoCellAnchor>
    <xdr:from>
      <xdr:col>1</xdr:col>
      <xdr:colOff>390175</xdr:colOff>
      <xdr:row>49</xdr:row>
      <xdr:rowOff>77730</xdr:rowOff>
    </xdr:from>
    <xdr:to>
      <xdr:col>1</xdr:col>
      <xdr:colOff>760602</xdr:colOff>
      <xdr:row>50</xdr:row>
      <xdr:rowOff>149953</xdr:rowOff>
    </xdr:to>
    <xdr:sp macro="" textlink="">
      <xdr:nvSpPr>
        <xdr:cNvPr id="7" name="TextBox 6">
          <a:extLst>
            <a:ext uri="{FF2B5EF4-FFF2-40B4-BE49-F238E27FC236}">
              <a16:creationId xmlns:a16="http://schemas.microsoft.com/office/drawing/2014/main" id="{8C1E7832-BF1A-4495-AC5D-28576C773B0A}"/>
            </a:ext>
          </a:extLst>
        </xdr:cNvPr>
        <xdr:cNvSpPr txBox="1"/>
      </xdr:nvSpPr>
      <xdr:spPr>
        <a:xfrm>
          <a:off x="1056925" y="11136255"/>
          <a:ext cx="370427" cy="29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xdr:col>
      <xdr:colOff>401453</xdr:colOff>
      <xdr:row>59</xdr:row>
      <xdr:rowOff>47545</xdr:rowOff>
    </xdr:from>
    <xdr:to>
      <xdr:col>1</xdr:col>
      <xdr:colOff>755687</xdr:colOff>
      <xdr:row>60</xdr:row>
      <xdr:rowOff>105480</xdr:rowOff>
    </xdr:to>
    <xdr:sp macro="" textlink="">
      <xdr:nvSpPr>
        <xdr:cNvPr id="8" name="TextBox 7">
          <a:extLst>
            <a:ext uri="{FF2B5EF4-FFF2-40B4-BE49-F238E27FC236}">
              <a16:creationId xmlns:a16="http://schemas.microsoft.com/office/drawing/2014/main" id="{B34FDF89-C1CB-491A-99F0-98E85E33420E}"/>
            </a:ext>
          </a:extLst>
        </xdr:cNvPr>
        <xdr:cNvSpPr txBox="1"/>
      </xdr:nvSpPr>
      <xdr:spPr>
        <a:xfrm>
          <a:off x="1068203" y="13296820"/>
          <a:ext cx="354234" cy="277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xdr:col>
      <xdr:colOff>402059</xdr:colOff>
      <xdr:row>57</xdr:row>
      <xdr:rowOff>15539</xdr:rowOff>
    </xdr:from>
    <xdr:to>
      <xdr:col>1</xdr:col>
      <xdr:colOff>767723</xdr:colOff>
      <xdr:row>58</xdr:row>
      <xdr:rowOff>79188</xdr:rowOff>
    </xdr:to>
    <xdr:sp macro="" textlink="">
      <xdr:nvSpPr>
        <xdr:cNvPr id="9" name="TextBox 8">
          <a:extLst>
            <a:ext uri="{FF2B5EF4-FFF2-40B4-BE49-F238E27FC236}">
              <a16:creationId xmlns:a16="http://schemas.microsoft.com/office/drawing/2014/main" id="{7CFE0F84-14B6-4011-A834-4C16A6A2CFF3}"/>
            </a:ext>
          </a:extLst>
        </xdr:cNvPr>
        <xdr:cNvSpPr txBox="1"/>
      </xdr:nvSpPr>
      <xdr:spPr>
        <a:xfrm>
          <a:off x="1068809" y="12826664"/>
          <a:ext cx="365664" cy="282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xdr:col>
      <xdr:colOff>415353</xdr:colOff>
      <xdr:row>52</xdr:row>
      <xdr:rowOff>168800</xdr:rowOff>
    </xdr:from>
    <xdr:to>
      <xdr:col>1</xdr:col>
      <xdr:colOff>793400</xdr:colOff>
      <xdr:row>54</xdr:row>
      <xdr:rowOff>5756</xdr:rowOff>
    </xdr:to>
    <xdr:sp macro="" textlink="">
      <xdr:nvSpPr>
        <xdr:cNvPr id="10" name="TextBox 9">
          <a:extLst>
            <a:ext uri="{FF2B5EF4-FFF2-40B4-BE49-F238E27FC236}">
              <a16:creationId xmlns:a16="http://schemas.microsoft.com/office/drawing/2014/main" id="{C543470A-162C-401B-9F9F-544B0441660E}"/>
            </a:ext>
          </a:extLst>
        </xdr:cNvPr>
        <xdr:cNvSpPr txBox="1"/>
      </xdr:nvSpPr>
      <xdr:spPr>
        <a:xfrm>
          <a:off x="1082103" y="11884550"/>
          <a:ext cx="378047" cy="275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631115</xdr:colOff>
      <xdr:row>47</xdr:row>
      <xdr:rowOff>117548</xdr:rowOff>
    </xdr:from>
    <xdr:to>
      <xdr:col>11</xdr:col>
      <xdr:colOff>403411</xdr:colOff>
      <xdr:row>70</xdr:row>
      <xdr:rowOff>56029</xdr:rowOff>
    </xdr:to>
    <xdr:graphicFrame macro="">
      <xdr:nvGraphicFramePr>
        <xdr:cNvPr id="11" name="차트 10">
          <a:extLst>
            <a:ext uri="{FF2B5EF4-FFF2-40B4-BE49-F238E27FC236}">
              <a16:creationId xmlns:a16="http://schemas.microsoft.com/office/drawing/2014/main" id="{E8838F0C-F906-4232-A588-81843FAD3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3" name="차트 2">
          <a:extLst>
            <a:ext uri="{FF2B5EF4-FFF2-40B4-BE49-F238E27FC236}">
              <a16:creationId xmlns:a16="http://schemas.microsoft.com/office/drawing/2014/main" id="{C0D8AC96-C804-4D9A-AD5B-C18F41AC7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2080257</xdr:colOff>
      <xdr:row>3</xdr:row>
      <xdr:rowOff>136375</xdr:rowOff>
    </xdr:from>
    <xdr:to>
      <xdr:col>22</xdr:col>
      <xdr:colOff>437028</xdr:colOff>
      <xdr:row>19</xdr:row>
      <xdr:rowOff>132566</xdr:rowOff>
    </xdr:to>
    <xdr:graphicFrame macro="">
      <xdr:nvGraphicFramePr>
        <xdr:cNvPr id="4" name="차트 3">
          <a:extLst>
            <a:ext uri="{FF2B5EF4-FFF2-40B4-BE49-F238E27FC236}">
              <a16:creationId xmlns:a16="http://schemas.microsoft.com/office/drawing/2014/main" id="{767B5456-9FAD-4568-AA65-FCD67B660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652959</xdr:colOff>
      <xdr:row>57</xdr:row>
      <xdr:rowOff>30622</xdr:rowOff>
    </xdr:from>
    <xdr:to>
      <xdr:col>11</xdr:col>
      <xdr:colOff>423874</xdr:colOff>
      <xdr:row>59</xdr:row>
      <xdr:rowOff>30620</xdr:rowOff>
    </xdr:to>
    <xdr:sp macro="" textlink="">
      <xdr:nvSpPr>
        <xdr:cNvPr id="5" name="TextBox 4">
          <a:extLst>
            <a:ext uri="{FF2B5EF4-FFF2-40B4-BE49-F238E27FC236}">
              <a16:creationId xmlns:a16="http://schemas.microsoft.com/office/drawing/2014/main" id="{A798061C-0C25-4EA2-A954-8A6C8E8AC766}"/>
            </a:ext>
          </a:extLst>
        </xdr:cNvPr>
        <xdr:cNvSpPr txBox="1"/>
      </xdr:nvSpPr>
      <xdr:spPr>
        <a:xfrm>
          <a:off x="8878077" y="12726887"/>
          <a:ext cx="532915" cy="448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51.12</a:t>
          </a:r>
          <a:br>
            <a:rPr lang="en-US" altLang="ko-KR" sz="1100" b="1">
              <a:solidFill>
                <a:srgbClr val="FF0000"/>
              </a:solidFill>
            </a:rPr>
          </a:br>
          <a:r>
            <a:rPr lang="en-US" altLang="ko-KR" sz="1100" b="1">
              <a:solidFill>
                <a:srgbClr val="FF0000"/>
              </a:solidFill>
            </a:rPr>
            <a:t>(75%)</a:t>
          </a:r>
          <a:endParaRPr lang="ko-KR" altLang="en-US" sz="1100" b="1">
            <a:solidFill>
              <a:srgbClr val="FF0000"/>
            </a:solidFill>
          </a:endParaRPr>
        </a:p>
      </xdr:txBody>
    </xdr:sp>
    <xdr:clientData/>
  </xdr:twoCellAnchor>
  <xdr:twoCellAnchor>
    <xdr:from>
      <xdr:col>10</xdr:col>
      <xdr:colOff>642295</xdr:colOff>
      <xdr:row>61</xdr:row>
      <xdr:rowOff>41715</xdr:rowOff>
    </xdr:from>
    <xdr:to>
      <xdr:col>11</xdr:col>
      <xdr:colOff>385234</xdr:colOff>
      <xdr:row>63</xdr:row>
      <xdr:rowOff>41716</xdr:rowOff>
    </xdr:to>
    <xdr:sp macro="" textlink="">
      <xdr:nvSpPr>
        <xdr:cNvPr id="6" name="TextBox 5">
          <a:extLst>
            <a:ext uri="{FF2B5EF4-FFF2-40B4-BE49-F238E27FC236}">
              <a16:creationId xmlns:a16="http://schemas.microsoft.com/office/drawing/2014/main" id="{58B18370-D8CE-409D-A9B6-70B9E8C7C662}"/>
            </a:ext>
          </a:extLst>
        </xdr:cNvPr>
        <xdr:cNvSpPr txBox="1"/>
      </xdr:nvSpPr>
      <xdr:spPr>
        <a:xfrm>
          <a:off x="8867413" y="13634450"/>
          <a:ext cx="504939" cy="44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23.75</a:t>
          </a:r>
          <a:br>
            <a:rPr lang="en-US" altLang="ko-KR" sz="1100" b="1">
              <a:solidFill>
                <a:srgbClr val="FF0000"/>
              </a:solidFill>
            </a:rPr>
          </a:br>
          <a:r>
            <a:rPr lang="en-US" altLang="ko-KR" sz="1100" b="1">
              <a:solidFill>
                <a:srgbClr val="FF0000"/>
              </a:solidFill>
            </a:rPr>
            <a:t>(25%)</a:t>
          </a:r>
          <a:endParaRPr lang="ko-KR" altLang="en-US" sz="1100" b="1">
            <a:solidFill>
              <a:srgbClr val="FF0000"/>
            </a:solidFill>
          </a:endParaRPr>
        </a:p>
      </xdr:txBody>
    </xdr:sp>
    <xdr:clientData/>
  </xdr:twoCellAnchor>
  <xdr:twoCellAnchor>
    <xdr:from>
      <xdr:col>1</xdr:col>
      <xdr:colOff>422015</xdr:colOff>
      <xdr:row>51</xdr:row>
      <xdr:rowOff>128757</xdr:rowOff>
    </xdr:from>
    <xdr:to>
      <xdr:col>1</xdr:col>
      <xdr:colOff>788223</xdr:colOff>
      <xdr:row>52</xdr:row>
      <xdr:rowOff>198122</xdr:rowOff>
    </xdr:to>
    <xdr:sp macro="" textlink="">
      <xdr:nvSpPr>
        <xdr:cNvPr id="7" name="TextBox 6">
          <a:extLst>
            <a:ext uri="{FF2B5EF4-FFF2-40B4-BE49-F238E27FC236}">
              <a16:creationId xmlns:a16="http://schemas.microsoft.com/office/drawing/2014/main" id="{DD4F4257-BBF7-45E6-9F44-4C2F78CC34E6}"/>
            </a:ext>
          </a:extLst>
        </xdr:cNvPr>
        <xdr:cNvSpPr txBox="1"/>
      </xdr:nvSpPr>
      <xdr:spPr>
        <a:xfrm>
          <a:off x="1094368" y="11480316"/>
          <a:ext cx="366208" cy="293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xdr:col>
      <xdr:colOff>362399</xdr:colOff>
      <xdr:row>62</xdr:row>
      <xdr:rowOff>44823</xdr:rowOff>
    </xdr:from>
    <xdr:to>
      <xdr:col>1</xdr:col>
      <xdr:colOff>717177</xdr:colOff>
      <xdr:row>63</xdr:row>
      <xdr:rowOff>100852</xdr:rowOff>
    </xdr:to>
    <xdr:sp macro="" textlink="">
      <xdr:nvSpPr>
        <xdr:cNvPr id="8" name="TextBox 7">
          <a:extLst>
            <a:ext uri="{FF2B5EF4-FFF2-40B4-BE49-F238E27FC236}">
              <a16:creationId xmlns:a16="http://schemas.microsoft.com/office/drawing/2014/main" id="{7784F462-C6D4-4949-B694-63944589E811}"/>
            </a:ext>
          </a:extLst>
        </xdr:cNvPr>
        <xdr:cNvSpPr txBox="1"/>
      </xdr:nvSpPr>
      <xdr:spPr>
        <a:xfrm>
          <a:off x="1034752" y="13861676"/>
          <a:ext cx="354778"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xdr:col>
      <xdr:colOff>393213</xdr:colOff>
      <xdr:row>59</xdr:row>
      <xdr:rowOff>62754</xdr:rowOff>
    </xdr:from>
    <xdr:to>
      <xdr:col>1</xdr:col>
      <xdr:colOff>763231</xdr:colOff>
      <xdr:row>60</xdr:row>
      <xdr:rowOff>118784</xdr:rowOff>
    </xdr:to>
    <xdr:sp macro="" textlink="">
      <xdr:nvSpPr>
        <xdr:cNvPr id="9" name="TextBox 8">
          <a:extLst>
            <a:ext uri="{FF2B5EF4-FFF2-40B4-BE49-F238E27FC236}">
              <a16:creationId xmlns:a16="http://schemas.microsoft.com/office/drawing/2014/main" id="{C1C00BBA-50E6-41AE-8B2D-D2C1894F203F}"/>
            </a:ext>
          </a:extLst>
        </xdr:cNvPr>
        <xdr:cNvSpPr txBox="1"/>
      </xdr:nvSpPr>
      <xdr:spPr>
        <a:xfrm>
          <a:off x="1065566" y="13207254"/>
          <a:ext cx="370018" cy="280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xdr:col>
      <xdr:colOff>417531</xdr:colOff>
      <xdr:row>54</xdr:row>
      <xdr:rowOff>75864</xdr:rowOff>
    </xdr:from>
    <xdr:to>
      <xdr:col>1</xdr:col>
      <xdr:colOff>795169</xdr:colOff>
      <xdr:row>55</xdr:row>
      <xdr:rowOff>133799</xdr:rowOff>
    </xdr:to>
    <xdr:sp macro="" textlink="">
      <xdr:nvSpPr>
        <xdr:cNvPr id="10" name="TextBox 9">
          <a:extLst>
            <a:ext uri="{FF2B5EF4-FFF2-40B4-BE49-F238E27FC236}">
              <a16:creationId xmlns:a16="http://schemas.microsoft.com/office/drawing/2014/main" id="{B39A1603-B914-4D69-8C4D-C8F81818B210}"/>
            </a:ext>
          </a:extLst>
        </xdr:cNvPr>
        <xdr:cNvSpPr txBox="1"/>
      </xdr:nvSpPr>
      <xdr:spPr>
        <a:xfrm>
          <a:off x="1089884" y="12099776"/>
          <a:ext cx="377638" cy="282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596277</xdr:colOff>
      <xdr:row>47</xdr:row>
      <xdr:rowOff>63342</xdr:rowOff>
    </xdr:from>
    <xdr:to>
      <xdr:col>11</xdr:col>
      <xdr:colOff>366682</xdr:colOff>
      <xdr:row>72</xdr:row>
      <xdr:rowOff>87382</xdr:rowOff>
    </xdr:to>
    <xdr:graphicFrame macro="">
      <xdr:nvGraphicFramePr>
        <xdr:cNvPr id="12" name="차트 11">
          <a:extLst>
            <a:ext uri="{FF2B5EF4-FFF2-40B4-BE49-F238E27FC236}">
              <a16:creationId xmlns:a16="http://schemas.microsoft.com/office/drawing/2014/main" id="{6046F25E-D5E6-4084-96C4-5D41FF6B0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34307</xdr:colOff>
      <xdr:row>3</xdr:row>
      <xdr:rowOff>189988</xdr:rowOff>
    </xdr:from>
    <xdr:to>
      <xdr:col>8</xdr:col>
      <xdr:colOff>287767</xdr:colOff>
      <xdr:row>19</xdr:row>
      <xdr:rowOff>200810</xdr:rowOff>
    </xdr:to>
    <xdr:graphicFrame macro="">
      <xdr:nvGraphicFramePr>
        <xdr:cNvPr id="2" name="차트 1">
          <a:extLst>
            <a:ext uri="{FF2B5EF4-FFF2-40B4-BE49-F238E27FC236}">
              <a16:creationId xmlns:a16="http://schemas.microsoft.com/office/drawing/2014/main" id="{2F71447E-ED62-4931-86D3-5B57590A0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2080257</xdr:colOff>
      <xdr:row>3</xdr:row>
      <xdr:rowOff>136375</xdr:rowOff>
    </xdr:from>
    <xdr:to>
      <xdr:col>22</xdr:col>
      <xdr:colOff>437028</xdr:colOff>
      <xdr:row>19</xdr:row>
      <xdr:rowOff>132566</xdr:rowOff>
    </xdr:to>
    <xdr:graphicFrame macro="">
      <xdr:nvGraphicFramePr>
        <xdr:cNvPr id="3" name="차트 2">
          <a:extLst>
            <a:ext uri="{FF2B5EF4-FFF2-40B4-BE49-F238E27FC236}">
              <a16:creationId xmlns:a16="http://schemas.microsoft.com/office/drawing/2014/main" id="{49AAF58F-9AED-47AE-A78D-171728AF9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634357</xdr:colOff>
      <xdr:row>56</xdr:row>
      <xdr:rowOff>127666</xdr:rowOff>
    </xdr:from>
    <xdr:to>
      <xdr:col>11</xdr:col>
      <xdr:colOff>405272</xdr:colOff>
      <xdr:row>58</xdr:row>
      <xdr:rowOff>127664</xdr:rowOff>
    </xdr:to>
    <xdr:sp macro="" textlink="">
      <xdr:nvSpPr>
        <xdr:cNvPr id="7" name="TextBox 6">
          <a:extLst>
            <a:ext uri="{FF2B5EF4-FFF2-40B4-BE49-F238E27FC236}">
              <a16:creationId xmlns:a16="http://schemas.microsoft.com/office/drawing/2014/main" id="{BA566940-8534-4F7D-BD45-5D5B3C36D199}"/>
            </a:ext>
          </a:extLst>
        </xdr:cNvPr>
        <xdr:cNvSpPr txBox="1"/>
      </xdr:nvSpPr>
      <xdr:spPr>
        <a:xfrm>
          <a:off x="8874238" y="12238023"/>
          <a:ext cx="534428" cy="438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51.12</a:t>
          </a:r>
          <a:br>
            <a:rPr lang="en-US" altLang="ko-KR" sz="1100" b="1">
              <a:solidFill>
                <a:srgbClr val="FF0000"/>
              </a:solidFill>
            </a:rPr>
          </a:br>
          <a:r>
            <a:rPr lang="en-US" altLang="ko-KR" sz="1100" b="1">
              <a:solidFill>
                <a:srgbClr val="FF0000"/>
              </a:solidFill>
            </a:rPr>
            <a:t>(75%)</a:t>
          </a:r>
          <a:endParaRPr lang="ko-KR" altLang="en-US" sz="1100" b="1">
            <a:solidFill>
              <a:srgbClr val="FF0000"/>
            </a:solidFill>
          </a:endParaRPr>
        </a:p>
      </xdr:txBody>
    </xdr:sp>
    <xdr:clientData/>
  </xdr:twoCellAnchor>
  <xdr:twoCellAnchor>
    <xdr:from>
      <xdr:col>10</xdr:col>
      <xdr:colOff>617978</xdr:colOff>
      <xdr:row>62</xdr:row>
      <xdr:rowOff>163074</xdr:rowOff>
    </xdr:from>
    <xdr:to>
      <xdr:col>11</xdr:col>
      <xdr:colOff>366632</xdr:colOff>
      <xdr:row>64</xdr:row>
      <xdr:rowOff>163076</xdr:rowOff>
    </xdr:to>
    <xdr:sp macro="" textlink="">
      <xdr:nvSpPr>
        <xdr:cNvPr id="8" name="TextBox 7">
          <a:extLst>
            <a:ext uri="{FF2B5EF4-FFF2-40B4-BE49-F238E27FC236}">
              <a16:creationId xmlns:a16="http://schemas.microsoft.com/office/drawing/2014/main" id="{D19FC34C-8CB1-4890-9100-F1F99F2C6FE9}"/>
            </a:ext>
          </a:extLst>
        </xdr:cNvPr>
        <xdr:cNvSpPr txBox="1"/>
      </xdr:nvSpPr>
      <xdr:spPr>
        <a:xfrm>
          <a:off x="8857859" y="13588788"/>
          <a:ext cx="512167" cy="43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23.75</a:t>
          </a:r>
          <a:br>
            <a:rPr lang="en-US" altLang="ko-KR" sz="1100" b="1">
              <a:solidFill>
                <a:srgbClr val="FF0000"/>
              </a:solidFill>
            </a:rPr>
          </a:br>
          <a:r>
            <a:rPr lang="en-US" altLang="ko-KR" sz="1100" b="1">
              <a:solidFill>
                <a:srgbClr val="FF0000"/>
              </a:solidFill>
            </a:rPr>
            <a:t>(25%)</a:t>
          </a:r>
          <a:endParaRPr lang="ko-KR" altLang="en-US" sz="1100" b="1">
            <a:solidFill>
              <a:srgbClr val="FF0000"/>
            </a:solidFill>
          </a:endParaRPr>
        </a:p>
      </xdr:txBody>
    </xdr:sp>
    <xdr:clientData/>
  </xdr:twoCellAnchor>
  <xdr:twoCellAnchor>
    <xdr:from>
      <xdr:col>1</xdr:col>
      <xdr:colOff>89648</xdr:colOff>
      <xdr:row>61</xdr:row>
      <xdr:rowOff>33619</xdr:rowOff>
    </xdr:from>
    <xdr:to>
      <xdr:col>1</xdr:col>
      <xdr:colOff>452046</xdr:colOff>
      <xdr:row>62</xdr:row>
      <xdr:rowOff>93458</xdr:rowOff>
    </xdr:to>
    <xdr:sp macro="" textlink="">
      <xdr:nvSpPr>
        <xdr:cNvPr id="13" name="TextBox 12">
          <a:extLst>
            <a:ext uri="{FF2B5EF4-FFF2-40B4-BE49-F238E27FC236}">
              <a16:creationId xmlns:a16="http://schemas.microsoft.com/office/drawing/2014/main" id="{156A3318-F36B-4A1E-8ABF-62AFEBF8ABE7}"/>
            </a:ext>
          </a:extLst>
        </xdr:cNvPr>
        <xdr:cNvSpPr txBox="1"/>
      </xdr:nvSpPr>
      <xdr:spPr>
        <a:xfrm>
          <a:off x="762001" y="13514295"/>
          <a:ext cx="362398" cy="283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KR</a:t>
          </a:r>
          <a:endParaRPr lang="ko-KR" altLang="en-US" sz="1100" b="1">
            <a:solidFill>
              <a:srgbClr val="FF0000"/>
            </a:solidFill>
          </a:endParaRPr>
        </a:p>
      </xdr:txBody>
    </xdr:sp>
    <xdr:clientData/>
  </xdr:twoCellAnchor>
  <xdr:twoCellAnchor>
    <xdr:from>
      <xdr:col>1</xdr:col>
      <xdr:colOff>89647</xdr:colOff>
      <xdr:row>63</xdr:row>
      <xdr:rowOff>179293</xdr:rowOff>
    </xdr:from>
    <xdr:to>
      <xdr:col>1</xdr:col>
      <xdr:colOff>448235</xdr:colOff>
      <xdr:row>65</xdr:row>
      <xdr:rowOff>11205</xdr:rowOff>
    </xdr:to>
    <xdr:sp macro="" textlink="">
      <xdr:nvSpPr>
        <xdr:cNvPr id="14" name="TextBox 13">
          <a:extLst>
            <a:ext uri="{FF2B5EF4-FFF2-40B4-BE49-F238E27FC236}">
              <a16:creationId xmlns:a16="http://schemas.microsoft.com/office/drawing/2014/main" id="{502A168A-36A5-4615-A3B4-32A7CC9CB415}"/>
            </a:ext>
          </a:extLst>
        </xdr:cNvPr>
        <xdr:cNvSpPr txBox="1"/>
      </xdr:nvSpPr>
      <xdr:spPr>
        <a:xfrm>
          <a:off x="762000" y="14108205"/>
          <a:ext cx="358588"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rPr>
            <a:t>SG</a:t>
          </a:r>
          <a:endParaRPr lang="ko-KR" altLang="en-US" sz="1100" b="1">
            <a:solidFill>
              <a:schemeClr val="accent6">
                <a:lumMod val="75000"/>
              </a:schemeClr>
            </a:solidFill>
          </a:endParaRPr>
        </a:p>
      </xdr:txBody>
    </xdr:sp>
    <xdr:clientData/>
  </xdr:twoCellAnchor>
  <xdr:twoCellAnchor>
    <xdr:from>
      <xdr:col>1</xdr:col>
      <xdr:colOff>114972</xdr:colOff>
      <xdr:row>58</xdr:row>
      <xdr:rowOff>21740</xdr:rowOff>
    </xdr:from>
    <xdr:to>
      <xdr:col>1</xdr:col>
      <xdr:colOff>483085</xdr:colOff>
      <xdr:row>59</xdr:row>
      <xdr:rowOff>77770</xdr:rowOff>
    </xdr:to>
    <xdr:sp macro="" textlink="">
      <xdr:nvSpPr>
        <xdr:cNvPr id="15" name="TextBox 14">
          <a:extLst>
            <a:ext uri="{FF2B5EF4-FFF2-40B4-BE49-F238E27FC236}">
              <a16:creationId xmlns:a16="http://schemas.microsoft.com/office/drawing/2014/main" id="{2593988F-99CA-415A-BB45-4EEC0FB32219}"/>
            </a:ext>
          </a:extLst>
        </xdr:cNvPr>
        <xdr:cNvSpPr txBox="1"/>
      </xdr:nvSpPr>
      <xdr:spPr>
        <a:xfrm>
          <a:off x="787325" y="12830064"/>
          <a:ext cx="368113"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070C0"/>
              </a:solidFill>
            </a:rPr>
            <a:t>ZS</a:t>
          </a:r>
          <a:endParaRPr lang="ko-KR" altLang="en-US" sz="1100" b="1">
            <a:solidFill>
              <a:srgbClr val="0070C0"/>
            </a:solidFill>
          </a:endParaRPr>
        </a:p>
      </xdr:txBody>
    </xdr:sp>
    <xdr:clientData/>
  </xdr:twoCellAnchor>
  <xdr:twoCellAnchor>
    <xdr:from>
      <xdr:col>1</xdr:col>
      <xdr:colOff>152400</xdr:colOff>
      <xdr:row>50</xdr:row>
      <xdr:rowOff>109482</xdr:rowOff>
    </xdr:from>
    <xdr:to>
      <xdr:col>1</xdr:col>
      <xdr:colOff>526228</xdr:colOff>
      <xdr:row>51</xdr:row>
      <xdr:rowOff>165511</xdr:rowOff>
    </xdr:to>
    <xdr:sp macro="" textlink="">
      <xdr:nvSpPr>
        <xdr:cNvPr id="16" name="TextBox 15">
          <a:extLst>
            <a:ext uri="{FF2B5EF4-FFF2-40B4-BE49-F238E27FC236}">
              <a16:creationId xmlns:a16="http://schemas.microsoft.com/office/drawing/2014/main" id="{6330961B-341D-424D-8034-96773DAC2E61}"/>
            </a:ext>
          </a:extLst>
        </xdr:cNvPr>
        <xdr:cNvSpPr txBox="1"/>
      </xdr:nvSpPr>
      <xdr:spPr>
        <a:xfrm>
          <a:off x="824753" y="11124864"/>
          <a:ext cx="373828"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tx1"/>
              </a:solidFill>
            </a:rPr>
            <a:t>JP</a:t>
          </a:r>
          <a:endParaRPr lang="ko-KR" altLang="en-US" sz="1100" b="1">
            <a:solidFill>
              <a:schemeClr val="tx1"/>
            </a:solidFil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34307</xdr:colOff>
      <xdr:row>3</xdr:row>
      <xdr:rowOff>189988</xdr:rowOff>
    </xdr:from>
    <xdr:to>
      <xdr:col>8</xdr:col>
      <xdr:colOff>287767</xdr:colOff>
      <xdr:row>19</xdr:row>
      <xdr:rowOff>200810</xdr:rowOff>
    </xdr:to>
    <xdr:graphicFrame macro="">
      <xdr:nvGraphicFramePr>
        <xdr:cNvPr id="2" name="차트 1">
          <a:extLst>
            <a:ext uri="{FF2B5EF4-FFF2-40B4-BE49-F238E27FC236}">
              <a16:creationId xmlns:a16="http://schemas.microsoft.com/office/drawing/2014/main" id="{09E5AAF7-7530-4865-8FEF-E7CF24BF6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2080257</xdr:colOff>
      <xdr:row>3</xdr:row>
      <xdr:rowOff>136375</xdr:rowOff>
    </xdr:from>
    <xdr:to>
      <xdr:col>22</xdr:col>
      <xdr:colOff>437028</xdr:colOff>
      <xdr:row>19</xdr:row>
      <xdr:rowOff>132566</xdr:rowOff>
    </xdr:to>
    <xdr:graphicFrame macro="">
      <xdr:nvGraphicFramePr>
        <xdr:cNvPr id="3" name="차트 2">
          <a:extLst>
            <a:ext uri="{FF2B5EF4-FFF2-40B4-BE49-F238E27FC236}">
              <a16:creationId xmlns:a16="http://schemas.microsoft.com/office/drawing/2014/main" id="{553EDE22-B093-44B4-A642-BE3AC708D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47</xdr:row>
      <xdr:rowOff>0</xdr:rowOff>
    </xdr:from>
    <xdr:to>
      <xdr:col>11</xdr:col>
      <xdr:colOff>474889</xdr:colOff>
      <xdr:row>71</xdr:row>
      <xdr:rowOff>150360</xdr:rowOff>
    </xdr:to>
    <xdr:graphicFrame macro="">
      <xdr:nvGraphicFramePr>
        <xdr:cNvPr id="5" name="차트 4">
          <a:extLst>
            <a:ext uri="{FF2B5EF4-FFF2-40B4-BE49-F238E27FC236}">
              <a16:creationId xmlns:a16="http://schemas.microsoft.com/office/drawing/2014/main" id="{9FD9811D-6A9E-4ACA-8393-6641C6C80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657337</xdr:colOff>
      <xdr:row>57</xdr:row>
      <xdr:rowOff>196215</xdr:rowOff>
    </xdr:from>
    <xdr:to>
      <xdr:col>13</xdr:col>
      <xdr:colOff>1199030</xdr:colOff>
      <xdr:row>59</xdr:row>
      <xdr:rowOff>196215</xdr:rowOff>
    </xdr:to>
    <xdr:sp macro="" textlink="">
      <xdr:nvSpPr>
        <xdr:cNvPr id="6" name="TextBox 5">
          <a:extLst>
            <a:ext uri="{FF2B5EF4-FFF2-40B4-BE49-F238E27FC236}">
              <a16:creationId xmlns:a16="http://schemas.microsoft.com/office/drawing/2014/main" id="{D59C6D03-154E-CFAD-DBD4-ABF10698030D}"/>
            </a:ext>
          </a:extLst>
        </xdr:cNvPr>
        <xdr:cNvSpPr txBox="1"/>
      </xdr:nvSpPr>
      <xdr:spPr>
        <a:xfrm>
          <a:off x="10854690" y="12780421"/>
          <a:ext cx="541693" cy="448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51.12</a:t>
          </a:r>
          <a:br>
            <a:rPr lang="en-US" altLang="ko-KR" sz="1100" b="1">
              <a:solidFill>
                <a:srgbClr val="FF0000"/>
              </a:solidFill>
            </a:rPr>
          </a:br>
          <a:r>
            <a:rPr lang="en-US" altLang="ko-KR" sz="1100" b="1">
              <a:solidFill>
                <a:srgbClr val="FF0000"/>
              </a:solidFill>
            </a:rPr>
            <a:t>(75%)</a:t>
          </a:r>
          <a:endParaRPr lang="ko-KR" altLang="en-US" sz="1100" b="1">
            <a:solidFill>
              <a:srgbClr val="FF0000"/>
            </a:solidFill>
          </a:endParaRPr>
        </a:p>
      </xdr:txBody>
    </xdr:sp>
    <xdr:clientData/>
  </xdr:twoCellAnchor>
  <xdr:twoCellAnchor>
    <xdr:from>
      <xdr:col>13</xdr:col>
      <xdr:colOff>664956</xdr:colOff>
      <xdr:row>60</xdr:row>
      <xdr:rowOff>169993</xdr:rowOff>
    </xdr:from>
    <xdr:to>
      <xdr:col>13</xdr:col>
      <xdr:colOff>1202839</xdr:colOff>
      <xdr:row>62</xdr:row>
      <xdr:rowOff>169993</xdr:rowOff>
    </xdr:to>
    <xdr:sp macro="" textlink="">
      <xdr:nvSpPr>
        <xdr:cNvPr id="7" name="TextBox 6">
          <a:extLst>
            <a:ext uri="{FF2B5EF4-FFF2-40B4-BE49-F238E27FC236}">
              <a16:creationId xmlns:a16="http://schemas.microsoft.com/office/drawing/2014/main" id="{B251C6AA-2DDB-4217-9953-F32F49236F1F}"/>
            </a:ext>
          </a:extLst>
        </xdr:cNvPr>
        <xdr:cNvSpPr txBox="1"/>
      </xdr:nvSpPr>
      <xdr:spPr>
        <a:xfrm>
          <a:off x="10862309" y="13426552"/>
          <a:ext cx="537883" cy="448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rPr>
            <a:t>23.75</a:t>
          </a:r>
          <a:br>
            <a:rPr lang="en-US" altLang="ko-KR" sz="1100" b="1">
              <a:solidFill>
                <a:srgbClr val="FF0000"/>
              </a:solidFill>
            </a:rPr>
          </a:br>
          <a:r>
            <a:rPr lang="en-US" altLang="ko-KR" sz="1100" b="1">
              <a:solidFill>
                <a:srgbClr val="FF0000"/>
              </a:solidFill>
            </a:rPr>
            <a:t>(25%)</a:t>
          </a:r>
          <a:endParaRPr lang="ko-KR" altLang="en-US" sz="1100" b="1">
            <a:solidFill>
              <a:srgbClr val="FF0000"/>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34307</xdr:colOff>
      <xdr:row>3</xdr:row>
      <xdr:rowOff>189988</xdr:rowOff>
    </xdr:from>
    <xdr:to>
      <xdr:col>8</xdr:col>
      <xdr:colOff>287767</xdr:colOff>
      <xdr:row>19</xdr:row>
      <xdr:rowOff>200810</xdr:rowOff>
    </xdr:to>
    <xdr:graphicFrame macro="">
      <xdr:nvGraphicFramePr>
        <xdr:cNvPr id="2" name="차트 1">
          <a:extLst>
            <a:ext uri="{FF2B5EF4-FFF2-40B4-BE49-F238E27FC236}">
              <a16:creationId xmlns:a16="http://schemas.microsoft.com/office/drawing/2014/main" id="{9D631DF3-11A8-4F14-A607-697C6993F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2080257</xdr:colOff>
      <xdr:row>3</xdr:row>
      <xdr:rowOff>136375</xdr:rowOff>
    </xdr:from>
    <xdr:to>
      <xdr:col>22</xdr:col>
      <xdr:colOff>437028</xdr:colOff>
      <xdr:row>19</xdr:row>
      <xdr:rowOff>132566</xdr:rowOff>
    </xdr:to>
    <xdr:graphicFrame macro="">
      <xdr:nvGraphicFramePr>
        <xdr:cNvPr id="3" name="차트 2">
          <a:extLst>
            <a:ext uri="{FF2B5EF4-FFF2-40B4-BE49-F238E27FC236}">
              <a16:creationId xmlns:a16="http://schemas.microsoft.com/office/drawing/2014/main" id="{1F7BB7FD-23FE-4E56-9FF2-9B548FE27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358810</xdr:colOff>
      <xdr:row>46</xdr:row>
      <xdr:rowOff>98387</xdr:rowOff>
    </xdr:from>
    <xdr:to>
      <xdr:col>12</xdr:col>
      <xdr:colOff>457200</xdr:colOff>
      <xdr:row>69</xdr:row>
      <xdr:rowOff>76200</xdr:rowOff>
    </xdr:to>
    <xdr:graphicFrame macro="">
      <xdr:nvGraphicFramePr>
        <xdr:cNvPr id="4" name="차트 3">
          <a:extLst>
            <a:ext uri="{FF2B5EF4-FFF2-40B4-BE49-F238E27FC236}">
              <a16:creationId xmlns:a16="http://schemas.microsoft.com/office/drawing/2014/main" id="{49464957-2F3C-431A-A4B1-76B3E0117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xdr:col>
      <xdr:colOff>34307</xdr:colOff>
      <xdr:row>3</xdr:row>
      <xdr:rowOff>189988</xdr:rowOff>
    </xdr:from>
    <xdr:to>
      <xdr:col>8</xdr:col>
      <xdr:colOff>287767</xdr:colOff>
      <xdr:row>19</xdr:row>
      <xdr:rowOff>200810</xdr:rowOff>
    </xdr:to>
    <xdr:graphicFrame macro="">
      <xdr:nvGraphicFramePr>
        <xdr:cNvPr id="2" name="차트 1">
          <a:extLst>
            <a:ext uri="{FF2B5EF4-FFF2-40B4-BE49-F238E27FC236}">
              <a16:creationId xmlns:a16="http://schemas.microsoft.com/office/drawing/2014/main" id="{84DCCFB7-1AE3-4255-A75D-DB677F23F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888623</xdr:colOff>
      <xdr:row>3</xdr:row>
      <xdr:rowOff>123264</xdr:rowOff>
    </xdr:from>
    <xdr:to>
      <xdr:col>20</xdr:col>
      <xdr:colOff>597720</xdr:colOff>
      <xdr:row>19</xdr:row>
      <xdr:rowOff>119455</xdr:rowOff>
    </xdr:to>
    <xdr:graphicFrame macro="">
      <xdr:nvGraphicFramePr>
        <xdr:cNvPr id="3" name="차트 2">
          <a:extLst>
            <a:ext uri="{FF2B5EF4-FFF2-40B4-BE49-F238E27FC236}">
              <a16:creationId xmlns:a16="http://schemas.microsoft.com/office/drawing/2014/main" id="{473395BA-2B4F-4FE8-9D16-C330EB002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9833A-0410-4694-B11C-7E0815ACCBE5}">
  <dimension ref="B2:AI81"/>
  <sheetViews>
    <sheetView showGridLines="0" tabSelected="1" topLeftCell="A48" zoomScaleNormal="100" workbookViewId="0">
      <selection activeCell="N56" activeCellId="1" sqref="T48 N56"/>
    </sheetView>
  </sheetViews>
  <sheetFormatPr defaultRowHeight="16.5" x14ac:dyDescent="0.3"/>
  <cols>
    <col min="2" max="2" width="12.25" bestFit="1" customWidth="1"/>
    <col min="3" max="4" width="10" bestFit="1" customWidth="1"/>
    <col min="5" max="5" width="11.125"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 min="25" max="25" width="13.125" customWidth="1"/>
    <col min="27" max="27" width="9" customWidth="1"/>
    <col min="32" max="32" width="17.375" customWidth="1"/>
    <col min="34" max="34" width="10.375" bestFit="1" customWidth="1"/>
  </cols>
  <sheetData>
    <row r="2" spans="2:35" x14ac:dyDescent="0.3">
      <c r="AF2" s="54">
        <v>46244</v>
      </c>
    </row>
    <row r="3" spans="2:35" x14ac:dyDescent="0.3">
      <c r="B3" s="1" t="s">
        <v>80</v>
      </c>
      <c r="O3" s="1" t="s">
        <v>97</v>
      </c>
      <c r="AF3" s="66" t="s">
        <v>360</v>
      </c>
    </row>
    <row r="4" spans="2:35" x14ac:dyDescent="0.3">
      <c r="AF4" s="67" t="s">
        <v>361</v>
      </c>
    </row>
    <row r="5" spans="2:35" x14ac:dyDescent="0.3">
      <c r="AF5" s="66" t="s">
        <v>362</v>
      </c>
    </row>
    <row r="7" spans="2:35" x14ac:dyDescent="0.3">
      <c r="Y7" s="51"/>
    </row>
    <row r="10" spans="2:35" x14ac:dyDescent="0.3">
      <c r="AF10" s="54">
        <v>46245</v>
      </c>
      <c r="AG10" s="56"/>
      <c r="AH10" s="56" t="s">
        <v>320</v>
      </c>
      <c r="AI10" s="57"/>
    </row>
    <row r="11" spans="2:35" x14ac:dyDescent="0.3">
      <c r="AF11" s="3" t="s">
        <v>319</v>
      </c>
      <c r="AG11" s="3" t="s">
        <v>233</v>
      </c>
      <c r="AH11" s="3" t="s">
        <v>234</v>
      </c>
      <c r="AI11" s="3" t="s">
        <v>308</v>
      </c>
    </row>
    <row r="12" spans="2:35" x14ac:dyDescent="0.3">
      <c r="AF12" s="3"/>
      <c r="AG12" s="3">
        <v>713.25</v>
      </c>
      <c r="AH12" s="3">
        <v>147.5</v>
      </c>
      <c r="AI12" s="3">
        <v>540</v>
      </c>
    </row>
    <row r="15" spans="2:35" x14ac:dyDescent="0.3">
      <c r="AF15" s="54">
        <v>46245</v>
      </c>
      <c r="AG15" s="55"/>
      <c r="AH15" s="56" t="s">
        <v>323</v>
      </c>
      <c r="AI15" s="57"/>
    </row>
    <row r="16" spans="2:35" x14ac:dyDescent="0.3">
      <c r="AF16" s="3" t="s">
        <v>321</v>
      </c>
      <c r="AG16" s="53" t="s">
        <v>233</v>
      </c>
      <c r="AH16" s="3" t="s">
        <v>234</v>
      </c>
      <c r="AI16" s="3" t="s">
        <v>308</v>
      </c>
    </row>
    <row r="17" spans="2:35" x14ac:dyDescent="0.3">
      <c r="AF17" s="3" t="s">
        <v>322</v>
      </c>
      <c r="AG17" s="53">
        <v>810</v>
      </c>
      <c r="AH17" s="3">
        <v>1150</v>
      </c>
      <c r="AI17" s="3">
        <v>610</v>
      </c>
    </row>
    <row r="18" spans="2:35" x14ac:dyDescent="0.3">
      <c r="AF18" s="3" t="s">
        <v>324</v>
      </c>
      <c r="AG18" s="53">
        <v>810</v>
      </c>
      <c r="AH18" s="3">
        <v>1220</v>
      </c>
      <c r="AI18" s="3">
        <v>625</v>
      </c>
    </row>
    <row r="19" spans="2:35" x14ac:dyDescent="0.3">
      <c r="AF19" s="3" t="s">
        <v>325</v>
      </c>
      <c r="AG19" s="53">
        <v>800</v>
      </c>
      <c r="AH19" s="3">
        <v>1210</v>
      </c>
      <c r="AI19" s="3">
        <v>630</v>
      </c>
    </row>
    <row r="20" spans="2:35" x14ac:dyDescent="0.3">
      <c r="AF20" s="3" t="s">
        <v>326</v>
      </c>
      <c r="AG20" s="53">
        <v>1000</v>
      </c>
      <c r="AH20" s="3"/>
      <c r="AI20" s="3"/>
    </row>
    <row r="22" spans="2:35" ht="27" x14ac:dyDescent="0.3">
      <c r="B22" s="4"/>
      <c r="C22" s="34">
        <v>46230</v>
      </c>
      <c r="D22" s="34">
        <v>46237</v>
      </c>
      <c r="E22" s="34">
        <v>46244</v>
      </c>
      <c r="F22" s="31" t="s">
        <v>135</v>
      </c>
      <c r="H22" s="9"/>
      <c r="J22" s="9"/>
      <c r="O22" s="6" t="s">
        <v>4</v>
      </c>
      <c r="P22" s="34">
        <v>46230</v>
      </c>
      <c r="Q22" s="34">
        <v>46237</v>
      </c>
      <c r="R22" s="34">
        <v>46244</v>
      </c>
      <c r="S22" s="7" t="s">
        <v>8</v>
      </c>
      <c r="AF22" s="54">
        <v>46245</v>
      </c>
      <c r="AG22" s="55"/>
      <c r="AH22" s="56" t="s">
        <v>327</v>
      </c>
      <c r="AI22" s="57"/>
    </row>
    <row r="23" spans="2:35" x14ac:dyDescent="0.3">
      <c r="B23" s="4" t="s">
        <v>21</v>
      </c>
      <c r="C23" s="19"/>
      <c r="D23" s="19"/>
      <c r="E23" s="19">
        <v>90</v>
      </c>
      <c r="F23" s="19">
        <v>80</v>
      </c>
      <c r="H23" s="10"/>
      <c r="J23" s="1"/>
      <c r="O23" s="6" t="s">
        <v>1</v>
      </c>
      <c r="P23" s="2">
        <v>786</v>
      </c>
      <c r="Q23" s="2">
        <v>810</v>
      </c>
      <c r="R23" s="2">
        <v>800</v>
      </c>
      <c r="S23" s="3" t="s">
        <v>15</v>
      </c>
      <c r="AF23" s="3" t="s">
        <v>321</v>
      </c>
      <c r="AG23" s="59" t="s">
        <v>233</v>
      </c>
      <c r="AH23" s="52" t="s">
        <v>328</v>
      </c>
      <c r="AI23" s="52" t="s">
        <v>308</v>
      </c>
    </row>
    <row r="24" spans="2:35" x14ac:dyDescent="0.3">
      <c r="B24" s="4" t="s">
        <v>5</v>
      </c>
      <c r="C24" s="19">
        <v>100</v>
      </c>
      <c r="D24" s="19">
        <v>80</v>
      </c>
      <c r="E24" s="19">
        <v>85</v>
      </c>
      <c r="F24" s="19">
        <v>80</v>
      </c>
      <c r="H24" s="10"/>
      <c r="J24" s="1"/>
      <c r="O24" s="6" t="s">
        <v>0</v>
      </c>
      <c r="P24" s="2">
        <v>845</v>
      </c>
      <c r="Q24" s="2">
        <v>858</v>
      </c>
      <c r="R24" s="2">
        <v>810</v>
      </c>
      <c r="S24" s="3" t="s">
        <v>15</v>
      </c>
      <c r="AF24" s="3" t="s">
        <v>322</v>
      </c>
      <c r="AG24" s="60">
        <f>AG17-$AG$12</f>
        <v>96.75</v>
      </c>
      <c r="AH24" s="58">
        <f>AH17/7.45-$AH$12</f>
        <v>6.8624161073825576</v>
      </c>
      <c r="AI24" s="61">
        <f>AI17-$AI$12</f>
        <v>70</v>
      </c>
    </row>
    <row r="25" spans="2:35" x14ac:dyDescent="0.3">
      <c r="B25" s="4" t="s">
        <v>6</v>
      </c>
      <c r="C25" s="19">
        <v>100</v>
      </c>
      <c r="D25" s="19">
        <v>80</v>
      </c>
      <c r="E25" s="19">
        <v>80</v>
      </c>
      <c r="F25" s="19">
        <v>80</v>
      </c>
      <c r="H25" s="1"/>
      <c r="J25" s="1"/>
      <c r="O25" s="6" t="s">
        <v>2</v>
      </c>
      <c r="P25" s="2">
        <v>880</v>
      </c>
      <c r="Q25" s="2">
        <v>870</v>
      </c>
      <c r="R25" s="2">
        <v>860</v>
      </c>
      <c r="S25" s="3" t="s">
        <v>15</v>
      </c>
      <c r="AF25" s="3" t="s">
        <v>324</v>
      </c>
      <c r="AG25" s="60">
        <f>AG18-$AG$12</f>
        <v>96.75</v>
      </c>
      <c r="AH25" s="58">
        <f>AH18/7.45-$AH$12</f>
        <v>16.258389261744952</v>
      </c>
      <c r="AI25" s="61">
        <f>AI18-$AI$12</f>
        <v>85</v>
      </c>
    </row>
    <row r="26" spans="2:35" x14ac:dyDescent="0.3">
      <c r="B26" s="4" t="s">
        <v>7</v>
      </c>
      <c r="C26" s="19"/>
      <c r="D26" s="19"/>
      <c r="E26" s="19">
        <v>70</v>
      </c>
      <c r="F26" s="19"/>
      <c r="H26" s="10"/>
      <c r="J26" s="10"/>
      <c r="O26" s="6" t="s">
        <v>3</v>
      </c>
      <c r="P26" s="50">
        <v>760</v>
      </c>
      <c r="Q26" s="50">
        <v>785</v>
      </c>
      <c r="R26" s="50">
        <v>810</v>
      </c>
      <c r="S26" s="3"/>
      <c r="AF26" s="3" t="s">
        <v>325</v>
      </c>
      <c r="AG26" s="60">
        <f>AG19-$AG$12</f>
        <v>86.75</v>
      </c>
      <c r="AH26" s="58">
        <f>AH19/7.45-$AH$12</f>
        <v>14.916107382550337</v>
      </c>
      <c r="AI26" s="61">
        <f>AI19-$AI$12</f>
        <v>90</v>
      </c>
    </row>
    <row r="27" spans="2:35" x14ac:dyDescent="0.3">
      <c r="O27" s="6"/>
      <c r="P27" s="2"/>
      <c r="Q27" s="2"/>
      <c r="R27" s="2"/>
      <c r="S27" s="2"/>
      <c r="AF27" s="62" t="s">
        <v>332</v>
      </c>
      <c r="AG27" s="63">
        <f>AG26-AG24</f>
        <v>-10</v>
      </c>
      <c r="AH27" s="63">
        <f>AH26-AH24</f>
        <v>8.0536912751677789</v>
      </c>
      <c r="AI27" s="63">
        <f>AI26-AI24</f>
        <v>20</v>
      </c>
    </row>
    <row r="28" spans="2:35" x14ac:dyDescent="0.3">
      <c r="B28" s="12" t="s">
        <v>16</v>
      </c>
      <c r="AF28" s="62" t="s">
        <v>333</v>
      </c>
      <c r="AG28" s="63">
        <f>AG26-AG25</f>
        <v>-10</v>
      </c>
      <c r="AH28" s="63">
        <f>AH26-AH25</f>
        <v>-1.3422818791946156</v>
      </c>
      <c r="AI28" s="63">
        <f>AI26-AI25</f>
        <v>5</v>
      </c>
    </row>
    <row r="29" spans="2:35" ht="21" customHeight="1" x14ac:dyDescent="0.3">
      <c r="B29" s="11" t="s">
        <v>365</v>
      </c>
      <c r="O29" s="14" t="s">
        <v>176</v>
      </c>
      <c r="P29" s="15"/>
      <c r="Q29" s="15"/>
      <c r="R29" s="15"/>
      <c r="S29" s="15"/>
      <c r="T29" s="15"/>
      <c r="U29" s="15"/>
      <c r="V29" s="15"/>
      <c r="W29" s="15"/>
      <c r="X29" s="15"/>
      <c r="AG29" s="37"/>
    </row>
    <row r="30" spans="2:35" ht="21" customHeight="1" x14ac:dyDescent="0.3">
      <c r="B30" s="43" t="s">
        <v>366</v>
      </c>
      <c r="O30" s="16" t="s">
        <v>50</v>
      </c>
      <c r="P30" s="15"/>
      <c r="Q30" s="15"/>
      <c r="R30" s="15"/>
      <c r="S30" s="15"/>
      <c r="T30" s="15"/>
      <c r="U30" s="15"/>
      <c r="V30" s="15"/>
      <c r="W30" s="15"/>
      <c r="X30" s="15"/>
      <c r="Y30" s="15"/>
      <c r="Z30" s="15"/>
      <c r="AA30" s="15"/>
      <c r="AB30" s="15"/>
      <c r="AE30" s="15"/>
      <c r="AF30" s="15"/>
      <c r="AG30" s="39"/>
    </row>
    <row r="31" spans="2:35" x14ac:dyDescent="0.3">
      <c r="B31" s="11" t="s">
        <v>367</v>
      </c>
      <c r="O31" s="17" t="s">
        <v>353</v>
      </c>
      <c r="P31" s="15"/>
      <c r="Q31" s="15"/>
      <c r="R31" s="15"/>
      <c r="S31" s="15"/>
      <c r="T31" s="15"/>
      <c r="U31" s="15"/>
      <c r="V31" s="15"/>
      <c r="W31" s="15"/>
      <c r="X31" s="15"/>
      <c r="Y31" s="15"/>
      <c r="Z31" s="15"/>
      <c r="AA31" s="15"/>
      <c r="AB31" s="15"/>
    </row>
    <row r="32" spans="2:35" x14ac:dyDescent="0.3">
      <c r="B32" s="11" t="s">
        <v>368</v>
      </c>
      <c r="O32" s="17" t="s">
        <v>354</v>
      </c>
      <c r="P32" s="15"/>
      <c r="Q32" s="15"/>
      <c r="R32" s="15"/>
      <c r="S32" s="15"/>
      <c r="T32" s="15"/>
      <c r="U32" s="15"/>
      <c r="V32" s="15"/>
      <c r="W32" s="15"/>
      <c r="X32" s="15"/>
      <c r="Y32" s="15"/>
      <c r="Z32" s="15"/>
      <c r="AA32" s="15"/>
      <c r="AB32" s="15"/>
    </row>
    <row r="33" spans="2:28" ht="13.9" customHeight="1" x14ac:dyDescent="0.3">
      <c r="B33" s="11"/>
      <c r="O33" s="17" t="s">
        <v>355</v>
      </c>
      <c r="P33" s="15"/>
      <c r="Q33" s="15"/>
      <c r="R33" s="15"/>
      <c r="S33" s="15"/>
      <c r="T33" s="15"/>
      <c r="U33" s="15"/>
      <c r="V33" s="15"/>
      <c r="W33" s="15"/>
      <c r="X33" s="15"/>
      <c r="Y33" s="15"/>
      <c r="Z33" s="15"/>
      <c r="AA33" s="15"/>
      <c r="AB33" s="15"/>
    </row>
    <row r="34" spans="2:28" x14ac:dyDescent="0.3">
      <c r="P34" s="15"/>
      <c r="Q34" s="15"/>
      <c r="R34" s="15"/>
      <c r="S34" s="15"/>
      <c r="T34" s="15"/>
      <c r="U34" s="15"/>
      <c r="V34" s="15"/>
      <c r="W34" s="15"/>
      <c r="X34" s="15"/>
      <c r="Y34" s="15"/>
      <c r="Z34" s="15"/>
      <c r="AA34" s="15"/>
      <c r="AB34" s="15"/>
    </row>
    <row r="35" spans="2:28" x14ac:dyDescent="0.3">
      <c r="B35" s="12" t="s">
        <v>296</v>
      </c>
      <c r="O35" s="14" t="s">
        <v>40</v>
      </c>
      <c r="P35" s="15"/>
      <c r="Q35" s="15"/>
      <c r="R35" s="15"/>
      <c r="S35" s="15"/>
      <c r="T35" s="15"/>
      <c r="U35" s="15"/>
      <c r="V35" s="15"/>
      <c r="W35" s="15"/>
      <c r="X35" s="15"/>
      <c r="Y35" s="15"/>
      <c r="Z35" s="15"/>
      <c r="AA35" s="15"/>
      <c r="AB35" s="15"/>
    </row>
    <row r="36" spans="2:28" x14ac:dyDescent="0.3">
      <c r="B36" s="11" t="s">
        <v>280</v>
      </c>
      <c r="O36" s="17" t="s">
        <v>356</v>
      </c>
      <c r="P36" s="15"/>
      <c r="Q36" s="15"/>
      <c r="R36" s="15"/>
      <c r="S36" s="15"/>
      <c r="T36" s="15"/>
      <c r="U36" s="15"/>
      <c r="V36" s="15"/>
      <c r="W36" s="15"/>
      <c r="X36" s="15"/>
      <c r="Y36" s="15"/>
      <c r="Z36" s="15"/>
      <c r="AA36" s="15"/>
      <c r="AB36" s="15"/>
    </row>
    <row r="37" spans="2:28" x14ac:dyDescent="0.3">
      <c r="B37" s="11" t="s">
        <v>265</v>
      </c>
      <c r="O37" s="17" t="s">
        <v>357</v>
      </c>
      <c r="P37" s="15"/>
      <c r="Q37" s="15"/>
      <c r="R37" s="15"/>
      <c r="S37" s="15"/>
      <c r="T37" s="15"/>
      <c r="U37" s="15"/>
      <c r="V37" s="15"/>
      <c r="W37" s="15"/>
      <c r="X37" s="15"/>
      <c r="Y37" s="15"/>
      <c r="Z37" s="15"/>
      <c r="AA37" s="15"/>
      <c r="AB37" s="15"/>
    </row>
    <row r="38" spans="2:28" x14ac:dyDescent="0.3">
      <c r="B38" s="11" t="s">
        <v>255</v>
      </c>
      <c r="O38" s="14" t="s">
        <v>44</v>
      </c>
      <c r="P38" s="15"/>
      <c r="Q38" s="15"/>
      <c r="R38" s="15"/>
      <c r="S38" s="15"/>
      <c r="T38" s="15"/>
      <c r="U38" s="15"/>
      <c r="V38" s="15"/>
      <c r="W38" s="15"/>
      <c r="X38" s="15"/>
      <c r="Y38" s="15"/>
      <c r="Z38" s="15"/>
      <c r="AA38" s="15"/>
      <c r="AB38" s="15"/>
    </row>
    <row r="39" spans="2:28" x14ac:dyDescent="0.3">
      <c r="B39" s="11" t="s">
        <v>281</v>
      </c>
      <c r="E39" t="s">
        <v>297</v>
      </c>
      <c r="O39" s="17" t="s">
        <v>358</v>
      </c>
      <c r="P39" s="15"/>
      <c r="Q39" s="15"/>
      <c r="R39" s="15"/>
      <c r="S39" s="15"/>
      <c r="T39" s="15"/>
      <c r="U39" s="15"/>
      <c r="V39" s="15"/>
      <c r="W39" s="15"/>
      <c r="X39" s="15"/>
      <c r="Y39" s="15"/>
      <c r="Z39" s="15"/>
      <c r="AA39" s="15"/>
      <c r="AB39" s="15"/>
    </row>
    <row r="40" spans="2:28" ht="18" customHeight="1" x14ac:dyDescent="0.3">
      <c r="B40" s="11" t="s">
        <v>266</v>
      </c>
      <c r="O40" s="17" t="s">
        <v>359</v>
      </c>
      <c r="P40" s="15"/>
      <c r="Q40" s="15"/>
      <c r="R40" s="15"/>
      <c r="S40" s="15"/>
      <c r="T40" s="15"/>
      <c r="U40" s="15"/>
      <c r="V40" s="15"/>
      <c r="W40" s="15"/>
      <c r="X40" s="15"/>
      <c r="Y40" s="15"/>
      <c r="Z40" s="15"/>
      <c r="AA40" s="15"/>
      <c r="AB40" s="15"/>
    </row>
    <row r="41" spans="2:28" ht="12.6" customHeight="1" x14ac:dyDescent="0.3">
      <c r="B41" s="29"/>
      <c r="P41" s="15"/>
      <c r="Q41" s="15"/>
      <c r="R41" s="15"/>
      <c r="S41" s="15"/>
      <c r="T41" s="15"/>
      <c r="U41" s="15"/>
      <c r="V41" s="15"/>
      <c r="W41" s="15"/>
      <c r="X41" s="15"/>
      <c r="Y41" s="15"/>
      <c r="Z41" s="15"/>
      <c r="AA41" s="15"/>
      <c r="AB41" s="15"/>
    </row>
    <row r="42" spans="2:28" x14ac:dyDescent="0.3">
      <c r="O42" s="14" t="s">
        <v>47</v>
      </c>
      <c r="P42" s="15"/>
      <c r="Q42" s="15"/>
      <c r="R42" s="15"/>
      <c r="S42" s="15"/>
      <c r="T42" s="15"/>
      <c r="U42" s="15"/>
      <c r="V42" s="15"/>
      <c r="W42" s="15"/>
      <c r="X42" s="15"/>
      <c r="Y42" s="15"/>
      <c r="Z42" s="15"/>
      <c r="AA42" s="15"/>
      <c r="AB42" s="15"/>
    </row>
    <row r="43" spans="2:28" x14ac:dyDescent="0.3">
      <c r="B43" s="12" t="s">
        <v>17</v>
      </c>
      <c r="C43" s="12"/>
      <c r="D43" s="12"/>
      <c r="E43" s="12"/>
      <c r="F43" s="12"/>
      <c r="G43" s="12"/>
      <c r="H43" s="12"/>
      <c r="I43" s="12"/>
      <c r="J43" s="12"/>
      <c r="K43" s="12"/>
      <c r="L43" s="12"/>
      <c r="M43" s="12"/>
      <c r="N43" s="12"/>
      <c r="O43" s="17" t="s">
        <v>364</v>
      </c>
      <c r="P43" s="15"/>
      <c r="Q43" s="15"/>
      <c r="R43" s="15"/>
      <c r="S43" s="15"/>
      <c r="T43" s="15"/>
      <c r="U43" s="15"/>
      <c r="V43" s="15"/>
      <c r="W43" s="15"/>
      <c r="X43" s="15"/>
      <c r="Y43" s="15"/>
      <c r="Z43" s="15"/>
      <c r="AA43" s="15"/>
      <c r="AB43" s="15"/>
    </row>
    <row r="44" spans="2:28" x14ac:dyDescent="0.3">
      <c r="B44" s="20" t="s">
        <v>369</v>
      </c>
      <c r="C44" s="21"/>
      <c r="D44" s="21"/>
      <c r="E44" s="21"/>
      <c r="F44" s="21"/>
      <c r="G44" s="21"/>
      <c r="H44" s="21"/>
      <c r="I44" s="21"/>
      <c r="J44" s="21"/>
      <c r="K44" s="21"/>
      <c r="L44" s="21"/>
      <c r="M44" s="21"/>
      <c r="N44" s="21"/>
      <c r="O44" s="17" t="s">
        <v>363</v>
      </c>
      <c r="P44" s="15"/>
      <c r="Q44" s="15"/>
      <c r="R44" s="15"/>
      <c r="S44" s="15"/>
      <c r="T44" s="15"/>
      <c r="U44" s="15"/>
      <c r="V44" s="15"/>
      <c r="W44" s="15"/>
      <c r="X44" s="15"/>
      <c r="Y44" s="15"/>
      <c r="Z44" s="15"/>
      <c r="AA44" s="15"/>
      <c r="AB44" s="15"/>
    </row>
    <row r="45" spans="2:28" x14ac:dyDescent="0.3">
      <c r="B45" s="20" t="s">
        <v>370</v>
      </c>
      <c r="C45" s="21"/>
      <c r="D45" s="21"/>
      <c r="E45" s="21"/>
      <c r="F45" s="21"/>
      <c r="G45" s="21"/>
      <c r="H45" s="21"/>
      <c r="I45" s="21"/>
      <c r="J45" s="21"/>
      <c r="K45" s="21"/>
      <c r="L45" s="21"/>
      <c r="M45" s="21"/>
      <c r="N45" s="21"/>
      <c r="P45" s="15"/>
      <c r="Q45" s="15"/>
      <c r="R45" s="15"/>
      <c r="S45" s="15"/>
      <c r="T45" s="15"/>
      <c r="U45" s="15"/>
      <c r="V45" s="15"/>
      <c r="W45" s="15"/>
      <c r="X45" s="15"/>
      <c r="Y45" s="15"/>
      <c r="Z45" s="15"/>
      <c r="AA45" s="15"/>
      <c r="AB45" s="15"/>
    </row>
    <row r="46" spans="2:28" x14ac:dyDescent="0.3">
      <c r="B46" s="20" t="s">
        <v>371</v>
      </c>
      <c r="C46" s="21"/>
      <c r="D46" s="21"/>
      <c r="E46" s="21"/>
      <c r="F46" s="21"/>
      <c r="G46" s="21"/>
      <c r="H46" s="21"/>
      <c r="I46" s="21"/>
      <c r="J46" s="21"/>
      <c r="K46" s="21"/>
      <c r="L46" s="21"/>
      <c r="M46" s="21"/>
      <c r="N46" s="21"/>
      <c r="O46" s="17"/>
      <c r="P46" s="15"/>
      <c r="Q46" s="15"/>
      <c r="R46" s="15"/>
      <c r="S46" s="15"/>
      <c r="T46" s="15"/>
      <c r="U46" s="15"/>
      <c r="V46" s="15"/>
      <c r="W46" s="15"/>
      <c r="X46" s="15"/>
      <c r="Y46" s="15"/>
      <c r="Z46" s="15"/>
      <c r="AA46" s="15"/>
      <c r="AB46" s="15"/>
    </row>
    <row r="47" spans="2:28" x14ac:dyDescent="0.3">
      <c r="P47" s="15"/>
      <c r="Q47" s="15"/>
      <c r="R47" s="15"/>
      <c r="S47" s="15"/>
      <c r="T47" s="15"/>
      <c r="U47" s="15"/>
      <c r="V47" s="15"/>
      <c r="W47" s="15"/>
      <c r="X47" s="15"/>
      <c r="Y47" s="15"/>
      <c r="Z47" s="15"/>
      <c r="AA47" s="15"/>
      <c r="AB47" s="15"/>
    </row>
    <row r="48" spans="2:28" x14ac:dyDescent="0.3">
      <c r="B48" s="1" t="s">
        <v>98</v>
      </c>
      <c r="P48" s="15"/>
      <c r="Q48" s="15"/>
      <c r="R48" s="15"/>
      <c r="S48" s="15"/>
      <c r="T48" s="15"/>
      <c r="U48" s="15"/>
      <c r="V48" s="15"/>
      <c r="W48" s="15"/>
      <c r="X48" s="15"/>
      <c r="Y48" s="15"/>
      <c r="Z48" s="15"/>
      <c r="AA48" s="15"/>
      <c r="AB48" s="15"/>
    </row>
    <row r="49" spans="2:29" x14ac:dyDescent="0.3">
      <c r="B49" s="11"/>
      <c r="N49" s="28"/>
      <c r="O49" s="26"/>
      <c r="P49" s="26"/>
      <c r="Q49" s="26"/>
      <c r="R49" s="26"/>
      <c r="S49" s="26"/>
      <c r="T49" s="26"/>
      <c r="U49" s="26"/>
      <c r="V49" s="26"/>
      <c r="W49" s="26"/>
      <c r="X49" s="26"/>
      <c r="Y49" s="26"/>
      <c r="Z49" s="26"/>
      <c r="AA49" s="26"/>
      <c r="AB49" s="26"/>
      <c r="AC49" s="28"/>
    </row>
    <row r="50" spans="2:29" x14ac:dyDescent="0.3">
      <c r="B50" s="11"/>
      <c r="N50" s="28"/>
      <c r="O50" s="14"/>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N54" s="28"/>
      <c r="O54" s="15"/>
      <c r="P54" s="26"/>
      <c r="Q54" s="26"/>
      <c r="R54" s="26"/>
      <c r="S54" s="26"/>
      <c r="T54" s="26"/>
      <c r="U54" s="26"/>
      <c r="V54" s="26"/>
      <c r="W54" s="26"/>
      <c r="X54" s="26"/>
      <c r="Y54" s="26"/>
      <c r="Z54" s="26"/>
      <c r="AA54" s="26"/>
      <c r="AB54" s="26"/>
      <c r="AC54" s="28"/>
    </row>
    <row r="55" spans="2:29" x14ac:dyDescent="0.3">
      <c r="B55" s="11"/>
      <c r="M55" s="30"/>
      <c r="N55" s="28"/>
      <c r="O55" s="27"/>
      <c r="P55" s="26"/>
      <c r="Q55" s="26"/>
      <c r="R55" s="26"/>
      <c r="S55" s="26"/>
      <c r="T55" s="26"/>
      <c r="U55" s="26"/>
      <c r="V55" s="26"/>
      <c r="W55" s="26"/>
      <c r="X55" s="26"/>
      <c r="Y55" s="26"/>
      <c r="Z55" s="26"/>
      <c r="AA55" s="26"/>
      <c r="AB55" s="26"/>
      <c r="AC55" s="28"/>
    </row>
    <row r="56" spans="2:29" x14ac:dyDescent="0.3">
      <c r="O56" s="27"/>
      <c r="P56" s="26"/>
      <c r="Q56" s="26"/>
      <c r="R56" s="26"/>
      <c r="S56" s="26"/>
      <c r="T56" s="26"/>
      <c r="U56" s="26"/>
      <c r="V56" s="26"/>
      <c r="W56" s="26"/>
      <c r="X56" s="26"/>
      <c r="Y56" s="26"/>
      <c r="Z56" s="26"/>
      <c r="AA56" s="26"/>
      <c r="AB56" s="26"/>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35"/>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N60" s="28"/>
      <c r="O60" s="29"/>
      <c r="P60" s="28"/>
      <c r="Q60" s="28"/>
      <c r="R60" s="28"/>
      <c r="S60" s="28"/>
      <c r="T60" s="28"/>
      <c r="U60" s="28"/>
      <c r="V60" s="28"/>
      <c r="W60" s="28"/>
      <c r="X60" s="28"/>
      <c r="Y60" s="28"/>
      <c r="Z60" s="28"/>
      <c r="AA60" s="28"/>
      <c r="AB60" s="28"/>
      <c r="AC60" s="28"/>
    </row>
    <row r="61" spans="2:29" x14ac:dyDescent="0.3">
      <c r="O61" s="11"/>
    </row>
    <row r="63" spans="2:29" x14ac:dyDescent="0.3">
      <c r="O63" s="11"/>
    </row>
    <row r="64" spans="2:29" x14ac:dyDescent="0.3">
      <c r="O64" s="11"/>
    </row>
    <row r="67" spans="2:15" x14ac:dyDescent="0.3">
      <c r="O67" s="8"/>
    </row>
    <row r="75" spans="2:15" x14ac:dyDescent="0.3">
      <c r="B75" s="1"/>
    </row>
    <row r="76" spans="2:15" x14ac:dyDescent="0.3">
      <c r="B76" s="65"/>
      <c r="C76" s="65"/>
      <c r="D76" s="65"/>
      <c r="E76" s="65"/>
      <c r="F76" s="65"/>
      <c r="G76" s="65"/>
      <c r="H76" s="65"/>
      <c r="I76" s="65"/>
      <c r="J76" s="65"/>
      <c r="K76" s="65"/>
      <c r="L76" s="65"/>
      <c r="N76" s="8"/>
    </row>
    <row r="77" spans="2:15" x14ac:dyDescent="0.3">
      <c r="C77" s="23"/>
    </row>
    <row r="78" spans="2:15" x14ac:dyDescent="0.3">
      <c r="C78" s="23"/>
    </row>
    <row r="79" spans="2:15" x14ac:dyDescent="0.3">
      <c r="C79" s="23"/>
    </row>
    <row r="80" spans="2:15" x14ac:dyDescent="0.3">
      <c r="C80" s="23"/>
    </row>
    <row r="81" spans="3:3" x14ac:dyDescent="0.3">
      <c r="C81" s="23"/>
    </row>
  </sheetData>
  <mergeCells count="1">
    <mergeCell ref="B76:L76"/>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079B-3B35-4984-9E5B-285EAF5F0DB3}">
  <dimension ref="B2:AI81"/>
  <sheetViews>
    <sheetView showGridLines="0" topLeftCell="D7" zoomScale="70" zoomScaleNormal="70" workbookViewId="0">
      <selection activeCell="Q22" sqref="Q22"/>
    </sheetView>
  </sheetViews>
  <sheetFormatPr defaultRowHeight="16.5" x14ac:dyDescent="0.3"/>
  <cols>
    <col min="2" max="2" width="12.25" bestFit="1" customWidth="1"/>
    <col min="3" max="4" width="10" bestFit="1" customWidth="1"/>
    <col min="5" max="5" width="11.125"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 min="25" max="25" width="13.125" customWidth="1"/>
    <col min="27" max="27" width="9" customWidth="1"/>
    <col min="32" max="32" width="12.25" bestFit="1" customWidth="1"/>
    <col min="34" max="34" width="10.375" bestFit="1" customWidth="1"/>
  </cols>
  <sheetData>
    <row r="2" spans="2:35" x14ac:dyDescent="0.3">
      <c r="AF2" s="54">
        <v>46181</v>
      </c>
    </row>
    <row r="3" spans="2:35" x14ac:dyDescent="0.3">
      <c r="B3" s="1" t="s">
        <v>80</v>
      </c>
      <c r="O3" s="1" t="s">
        <v>97</v>
      </c>
      <c r="AF3" t="s">
        <v>329</v>
      </c>
    </row>
    <row r="4" spans="2:35" x14ac:dyDescent="0.3">
      <c r="AF4" t="s">
        <v>330</v>
      </c>
    </row>
    <row r="5" spans="2:35" x14ac:dyDescent="0.3">
      <c r="AF5" t="s">
        <v>331</v>
      </c>
    </row>
    <row r="7" spans="2:35" x14ac:dyDescent="0.3">
      <c r="Y7" s="51"/>
    </row>
    <row r="10" spans="2:35" x14ac:dyDescent="0.3">
      <c r="AF10" s="54">
        <v>46181</v>
      </c>
      <c r="AG10" s="56"/>
      <c r="AH10" s="56" t="s">
        <v>320</v>
      </c>
      <c r="AI10" s="57"/>
    </row>
    <row r="11" spans="2:35" x14ac:dyDescent="0.3">
      <c r="AF11" s="3" t="s">
        <v>319</v>
      </c>
      <c r="AG11" s="3" t="s">
        <v>233</v>
      </c>
      <c r="AH11" s="3" t="s">
        <v>234</v>
      </c>
      <c r="AI11" s="3" t="s">
        <v>308</v>
      </c>
    </row>
    <row r="12" spans="2:35" x14ac:dyDescent="0.3">
      <c r="AF12" s="3"/>
      <c r="AG12" s="3">
        <v>728.25</v>
      </c>
      <c r="AH12" s="3">
        <v>143.25</v>
      </c>
      <c r="AI12" s="3">
        <v>612.5</v>
      </c>
    </row>
    <row r="15" spans="2:35" x14ac:dyDescent="0.3">
      <c r="AF15" s="54">
        <v>46181</v>
      </c>
      <c r="AG15" s="55"/>
      <c r="AH15" s="56" t="s">
        <v>323</v>
      </c>
      <c r="AI15" s="57"/>
    </row>
    <row r="16" spans="2:35" x14ac:dyDescent="0.3">
      <c r="AF16" s="3" t="s">
        <v>321</v>
      </c>
      <c r="AG16" s="53" t="s">
        <v>233</v>
      </c>
      <c r="AH16" s="3" t="s">
        <v>234</v>
      </c>
      <c r="AI16" s="3" t="s">
        <v>308</v>
      </c>
    </row>
    <row r="17" spans="2:35" x14ac:dyDescent="0.3">
      <c r="AF17" s="3" t="s">
        <v>322</v>
      </c>
      <c r="AG17" s="53">
        <v>790</v>
      </c>
      <c r="AH17" s="3">
        <v>1170</v>
      </c>
      <c r="AI17" s="3">
        <v>632</v>
      </c>
    </row>
    <row r="18" spans="2:35" x14ac:dyDescent="0.3">
      <c r="AF18" s="3" t="s">
        <v>324</v>
      </c>
      <c r="AG18" s="53">
        <v>790</v>
      </c>
      <c r="AH18" s="3">
        <v>1140</v>
      </c>
      <c r="AI18" s="3">
        <v>655</v>
      </c>
    </row>
    <row r="19" spans="2:35" x14ac:dyDescent="0.3">
      <c r="AF19" s="3" t="s">
        <v>325</v>
      </c>
      <c r="AG19" s="53">
        <v>805</v>
      </c>
      <c r="AH19" s="3">
        <v>1100</v>
      </c>
      <c r="AI19" s="3">
        <v>700</v>
      </c>
    </row>
    <row r="20" spans="2:35" x14ac:dyDescent="0.3">
      <c r="AF20" s="3" t="s">
        <v>326</v>
      </c>
      <c r="AG20" s="53">
        <v>1000</v>
      </c>
      <c r="AH20" s="3"/>
      <c r="AI20" s="3"/>
    </row>
    <row r="21" spans="2:35" x14ac:dyDescent="0.3">
      <c r="C21" s="32"/>
      <c r="D21" s="64" t="s">
        <v>345</v>
      </c>
      <c r="E21" s="64" t="s">
        <v>345</v>
      </c>
    </row>
    <row r="22" spans="2:35" ht="27" x14ac:dyDescent="0.3">
      <c r="B22" s="4"/>
      <c r="C22" s="34">
        <v>46223</v>
      </c>
      <c r="D22" s="34">
        <v>46230</v>
      </c>
      <c r="E22" s="34">
        <v>46237</v>
      </c>
      <c r="F22" s="31" t="s">
        <v>135</v>
      </c>
      <c r="H22" s="9"/>
      <c r="J22" s="9"/>
      <c r="O22" s="6" t="s">
        <v>4</v>
      </c>
      <c r="P22" s="34">
        <v>46223</v>
      </c>
      <c r="Q22" s="34">
        <v>46230</v>
      </c>
      <c r="R22" s="34">
        <v>46237</v>
      </c>
      <c r="S22" s="7" t="s">
        <v>8</v>
      </c>
      <c r="AF22" s="54">
        <v>46181</v>
      </c>
      <c r="AG22" s="55"/>
      <c r="AH22" s="56" t="s">
        <v>327</v>
      </c>
      <c r="AI22" s="57"/>
    </row>
    <row r="23" spans="2:35" x14ac:dyDescent="0.3">
      <c r="B23" s="4" t="s">
        <v>21</v>
      </c>
      <c r="C23" s="19">
        <v>130</v>
      </c>
      <c r="D23" s="19"/>
      <c r="E23" s="19"/>
      <c r="F23" s="19"/>
      <c r="H23" s="10"/>
      <c r="J23" s="1"/>
      <c r="O23" s="6" t="s">
        <v>1</v>
      </c>
      <c r="P23" s="2">
        <v>780</v>
      </c>
      <c r="Q23" s="2">
        <v>786</v>
      </c>
      <c r="R23" s="2">
        <v>810</v>
      </c>
      <c r="S23" s="3" t="s">
        <v>15</v>
      </c>
      <c r="AF23" s="3" t="s">
        <v>321</v>
      </c>
      <c r="AG23" s="59" t="s">
        <v>233</v>
      </c>
      <c r="AH23" s="52" t="s">
        <v>328</v>
      </c>
      <c r="AI23" s="52" t="s">
        <v>308</v>
      </c>
    </row>
    <row r="24" spans="2:35" x14ac:dyDescent="0.3">
      <c r="B24" s="4" t="s">
        <v>5</v>
      </c>
      <c r="C24" s="19">
        <v>120</v>
      </c>
      <c r="D24" s="19">
        <v>100</v>
      </c>
      <c r="E24" s="19">
        <v>80</v>
      </c>
      <c r="F24" s="19">
        <v>80</v>
      </c>
      <c r="H24" s="10"/>
      <c r="J24" s="1"/>
      <c r="O24" s="6" t="s">
        <v>0</v>
      </c>
      <c r="P24" s="2">
        <v>798</v>
      </c>
      <c r="Q24" s="2">
        <v>845</v>
      </c>
      <c r="R24" s="2">
        <v>858</v>
      </c>
      <c r="S24" s="3" t="s">
        <v>15</v>
      </c>
      <c r="AF24" s="3" t="s">
        <v>322</v>
      </c>
      <c r="AG24" s="60">
        <f>AG17-$AG$12</f>
        <v>61.75</v>
      </c>
      <c r="AH24" s="58">
        <f>AH17/7.45-$AH$12</f>
        <v>13.796979865771817</v>
      </c>
      <c r="AI24" s="61">
        <f>AI17-$AI$12</f>
        <v>19.5</v>
      </c>
    </row>
    <row r="25" spans="2:35" x14ac:dyDescent="0.3">
      <c r="B25" s="4" t="s">
        <v>6</v>
      </c>
      <c r="C25" s="19">
        <v>120</v>
      </c>
      <c r="D25" s="19">
        <v>100</v>
      </c>
      <c r="E25" s="19">
        <v>80</v>
      </c>
      <c r="F25" s="19">
        <v>80</v>
      </c>
      <c r="H25" s="1"/>
      <c r="J25" s="1"/>
      <c r="O25" s="6" t="s">
        <v>2</v>
      </c>
      <c r="P25" s="2">
        <v>890</v>
      </c>
      <c r="Q25" s="2">
        <v>880</v>
      </c>
      <c r="R25" s="2">
        <v>870</v>
      </c>
      <c r="S25" s="3" t="s">
        <v>15</v>
      </c>
      <c r="AF25" s="3" t="s">
        <v>324</v>
      </c>
      <c r="AG25" s="60">
        <f>AG18-$AG$12</f>
        <v>61.75</v>
      </c>
      <c r="AH25" s="58">
        <f>AH18/7.45-$AH$12</f>
        <v>9.7701342281879135</v>
      </c>
      <c r="AI25" s="61">
        <f>AI18-$AI$12</f>
        <v>42.5</v>
      </c>
    </row>
    <row r="26" spans="2:35" x14ac:dyDescent="0.3">
      <c r="B26" s="4" t="s">
        <v>7</v>
      </c>
      <c r="C26" s="19"/>
      <c r="D26" s="19"/>
      <c r="E26" s="19"/>
      <c r="F26" s="19">
        <v>80</v>
      </c>
      <c r="H26" s="10"/>
      <c r="J26" s="10"/>
      <c r="O26" s="6" t="s">
        <v>3</v>
      </c>
      <c r="P26" s="50">
        <v>755</v>
      </c>
      <c r="Q26" s="50">
        <v>760</v>
      </c>
      <c r="R26" s="50">
        <v>785</v>
      </c>
      <c r="S26" s="3"/>
      <c r="AF26" s="3" t="s">
        <v>325</v>
      </c>
      <c r="AG26" s="60">
        <f>AG19-$AG$12</f>
        <v>76.75</v>
      </c>
      <c r="AH26" s="58">
        <f>AH19/7.45-$AH$12</f>
        <v>4.4010067114093943</v>
      </c>
      <c r="AI26" s="61">
        <f>AI19-$AI$12</f>
        <v>87.5</v>
      </c>
    </row>
    <row r="27" spans="2:35" x14ac:dyDescent="0.3">
      <c r="O27" s="6"/>
      <c r="P27" s="2"/>
      <c r="Q27" s="2"/>
      <c r="R27" s="2"/>
      <c r="S27" s="2"/>
      <c r="AF27" s="62" t="s">
        <v>332</v>
      </c>
      <c r="AG27" s="63">
        <f>AG26-AG24</f>
        <v>15</v>
      </c>
      <c r="AH27" s="63">
        <f>AH26-AH24</f>
        <v>-9.395973154362423</v>
      </c>
      <c r="AI27" s="63">
        <f>AI26-AI24</f>
        <v>68</v>
      </c>
    </row>
    <row r="28" spans="2:35" x14ac:dyDescent="0.3">
      <c r="B28" s="12" t="s">
        <v>16</v>
      </c>
      <c r="AF28" s="62" t="s">
        <v>333</v>
      </c>
      <c r="AG28" s="63">
        <f>AG26-AG25</f>
        <v>15</v>
      </c>
      <c r="AH28" s="63">
        <f>AH26-AH25</f>
        <v>-5.3691275167785193</v>
      </c>
      <c r="AI28" s="63">
        <f>AI26-AI25</f>
        <v>45</v>
      </c>
    </row>
    <row r="29" spans="2:35" ht="21" customHeight="1" x14ac:dyDescent="0.3">
      <c r="B29" s="11" t="s">
        <v>346</v>
      </c>
      <c r="O29" s="14" t="s">
        <v>176</v>
      </c>
      <c r="P29" s="15"/>
      <c r="Q29" s="15"/>
      <c r="R29" s="15"/>
      <c r="S29" s="15"/>
      <c r="T29" s="15"/>
      <c r="U29" s="15"/>
      <c r="V29" s="15"/>
      <c r="W29" s="15"/>
      <c r="X29" s="15"/>
      <c r="AG29" s="37"/>
    </row>
    <row r="30" spans="2:35" ht="21" customHeight="1" x14ac:dyDescent="0.3">
      <c r="B30" s="43" t="s">
        <v>347</v>
      </c>
      <c r="O30" s="16" t="s">
        <v>50</v>
      </c>
      <c r="P30" s="15"/>
      <c r="Q30" s="15"/>
      <c r="R30" s="15"/>
      <c r="S30" s="15"/>
      <c r="T30" s="15"/>
      <c r="U30" s="15"/>
      <c r="V30" s="15"/>
      <c r="W30" s="15"/>
      <c r="X30" s="15"/>
      <c r="Y30" s="15"/>
      <c r="Z30" s="15"/>
      <c r="AA30" s="15"/>
      <c r="AB30" s="15"/>
      <c r="AE30" s="15"/>
      <c r="AF30" s="15"/>
      <c r="AG30" s="39"/>
    </row>
    <row r="31" spans="2:35" x14ac:dyDescent="0.3">
      <c r="B31" s="11" t="s">
        <v>348</v>
      </c>
      <c r="O31" s="17" t="s">
        <v>338</v>
      </c>
      <c r="P31" s="15"/>
      <c r="Q31" s="15"/>
      <c r="R31" s="15"/>
      <c r="S31" s="15"/>
      <c r="T31" s="15"/>
      <c r="U31" s="15"/>
      <c r="V31" s="15"/>
      <c r="W31" s="15"/>
      <c r="X31" s="15"/>
      <c r="Y31" s="15"/>
      <c r="Z31" s="15"/>
      <c r="AA31" s="15"/>
      <c r="AB31" s="15"/>
    </row>
    <row r="32" spans="2:35" x14ac:dyDescent="0.3">
      <c r="B32" s="11" t="s">
        <v>349</v>
      </c>
      <c r="O32" s="17" t="s">
        <v>339</v>
      </c>
      <c r="P32" s="15"/>
      <c r="Q32" s="15"/>
      <c r="R32" s="15"/>
      <c r="S32" s="15"/>
      <c r="T32" s="15"/>
      <c r="U32" s="15"/>
      <c r="V32" s="15"/>
      <c r="W32" s="15"/>
      <c r="X32" s="15"/>
      <c r="Y32" s="15"/>
      <c r="Z32" s="15"/>
      <c r="AA32" s="15"/>
      <c r="AB32" s="15"/>
    </row>
    <row r="33" spans="2:28" ht="13.9" customHeight="1" x14ac:dyDescent="0.3">
      <c r="B33" s="11"/>
      <c r="O33" s="17"/>
      <c r="P33" s="15"/>
      <c r="Q33" s="15"/>
      <c r="R33" s="15"/>
      <c r="S33" s="15"/>
      <c r="T33" s="15"/>
      <c r="U33" s="15"/>
      <c r="V33" s="15"/>
      <c r="W33" s="15"/>
      <c r="X33" s="15"/>
      <c r="Y33" s="15"/>
      <c r="Z33" s="15"/>
      <c r="AA33" s="15"/>
      <c r="AB33" s="15"/>
    </row>
    <row r="34" spans="2:28" x14ac:dyDescent="0.3">
      <c r="O34" s="14" t="s">
        <v>40</v>
      </c>
      <c r="P34" s="15"/>
      <c r="Q34" s="15"/>
      <c r="R34" s="15"/>
      <c r="S34" s="15"/>
      <c r="T34" s="15"/>
      <c r="U34" s="15"/>
      <c r="V34" s="15"/>
      <c r="W34" s="15"/>
      <c r="X34" s="15"/>
      <c r="Y34" s="15"/>
      <c r="Z34" s="15"/>
      <c r="AA34" s="15"/>
      <c r="AB34" s="15"/>
    </row>
    <row r="35" spans="2:28" x14ac:dyDescent="0.3">
      <c r="B35" s="12" t="s">
        <v>296</v>
      </c>
      <c r="O35" s="17" t="s">
        <v>340</v>
      </c>
      <c r="P35" s="15"/>
      <c r="Q35" s="15"/>
      <c r="R35" s="15"/>
      <c r="S35" s="15"/>
      <c r="T35" s="15"/>
      <c r="U35" s="15"/>
      <c r="V35" s="15"/>
      <c r="W35" s="15"/>
      <c r="X35" s="15"/>
      <c r="Y35" s="15"/>
      <c r="Z35" s="15"/>
      <c r="AA35" s="15"/>
      <c r="AB35" s="15"/>
    </row>
    <row r="36" spans="2:28" x14ac:dyDescent="0.3">
      <c r="B36" s="11" t="s">
        <v>280</v>
      </c>
      <c r="O36" s="14" t="s">
        <v>44</v>
      </c>
      <c r="P36" s="15"/>
      <c r="Q36" s="15"/>
      <c r="R36" s="15"/>
      <c r="S36" s="15"/>
      <c r="T36" s="15"/>
      <c r="U36" s="15"/>
      <c r="V36" s="15"/>
      <c r="W36" s="15"/>
      <c r="X36" s="15"/>
      <c r="Y36" s="15"/>
      <c r="Z36" s="15"/>
      <c r="AA36" s="15"/>
      <c r="AB36" s="15"/>
    </row>
    <row r="37" spans="2:28" x14ac:dyDescent="0.3">
      <c r="B37" s="11" t="s">
        <v>265</v>
      </c>
      <c r="O37" s="17" t="s">
        <v>341</v>
      </c>
      <c r="P37" s="15"/>
      <c r="Q37" s="15"/>
      <c r="R37" s="15"/>
      <c r="S37" s="15"/>
      <c r="T37" s="15"/>
      <c r="U37" s="15"/>
      <c r="V37" s="15"/>
      <c r="W37" s="15"/>
      <c r="X37" s="15"/>
      <c r="Y37" s="15"/>
      <c r="Z37" s="15"/>
      <c r="AA37" s="15"/>
      <c r="AB37" s="15"/>
    </row>
    <row r="38" spans="2:28" x14ac:dyDescent="0.3">
      <c r="B38" s="11" t="s">
        <v>255</v>
      </c>
      <c r="O38" s="17" t="s">
        <v>342</v>
      </c>
      <c r="P38" s="15"/>
      <c r="Q38" s="15"/>
      <c r="R38" s="15"/>
      <c r="S38" s="15"/>
      <c r="T38" s="15"/>
      <c r="U38" s="15"/>
      <c r="V38" s="15"/>
      <c r="W38" s="15"/>
      <c r="X38" s="15"/>
      <c r="Y38" s="15"/>
      <c r="Z38" s="15"/>
      <c r="AA38" s="15"/>
      <c r="AB38" s="15"/>
    </row>
    <row r="39" spans="2:28" x14ac:dyDescent="0.3">
      <c r="B39" s="11" t="s">
        <v>281</v>
      </c>
      <c r="E39" t="s">
        <v>297</v>
      </c>
      <c r="P39" s="15"/>
      <c r="Q39" s="15"/>
      <c r="R39" s="15"/>
      <c r="S39" s="15"/>
      <c r="T39" s="15"/>
      <c r="U39" s="15"/>
      <c r="V39" s="15"/>
      <c r="W39" s="15"/>
      <c r="X39" s="15"/>
      <c r="Y39" s="15"/>
      <c r="Z39" s="15"/>
      <c r="AA39" s="15"/>
      <c r="AB39" s="15"/>
    </row>
    <row r="40" spans="2:28" ht="18" customHeight="1" x14ac:dyDescent="0.3">
      <c r="B40" s="11" t="s">
        <v>266</v>
      </c>
      <c r="O40" s="14" t="s">
        <v>47</v>
      </c>
      <c r="P40" s="15"/>
      <c r="Q40" s="15"/>
      <c r="R40" s="15"/>
      <c r="S40" s="15"/>
      <c r="T40" s="15"/>
      <c r="U40" s="15"/>
      <c r="V40" s="15"/>
      <c r="W40" s="15"/>
      <c r="X40" s="15"/>
      <c r="Y40" s="15"/>
      <c r="Z40" s="15"/>
      <c r="AA40" s="15"/>
      <c r="AB40" s="15"/>
    </row>
    <row r="41" spans="2:28" ht="12.6" customHeight="1" x14ac:dyDescent="0.3">
      <c r="B41" s="29"/>
      <c r="O41" s="17" t="s">
        <v>343</v>
      </c>
      <c r="P41" s="15"/>
      <c r="Q41" s="15"/>
      <c r="R41" s="15"/>
      <c r="S41" s="15"/>
      <c r="T41" s="15"/>
      <c r="U41" s="15"/>
      <c r="V41" s="15"/>
      <c r="W41" s="15"/>
      <c r="X41" s="15"/>
      <c r="Y41" s="15"/>
      <c r="Z41" s="15"/>
      <c r="AA41" s="15"/>
      <c r="AB41" s="15"/>
    </row>
    <row r="42" spans="2:28" x14ac:dyDescent="0.3">
      <c r="O42" s="17" t="s">
        <v>344</v>
      </c>
      <c r="P42" s="15"/>
      <c r="Q42" s="15"/>
      <c r="R42" s="15"/>
      <c r="S42" s="15"/>
      <c r="T42" s="15"/>
      <c r="U42" s="15"/>
      <c r="V42" s="15"/>
      <c r="W42" s="15"/>
      <c r="X42" s="15"/>
      <c r="Y42" s="15"/>
      <c r="Z42" s="15"/>
      <c r="AA42" s="15"/>
      <c r="AB42" s="15"/>
    </row>
    <row r="43" spans="2:28" x14ac:dyDescent="0.3">
      <c r="B43" s="12" t="s">
        <v>17</v>
      </c>
      <c r="C43" s="12"/>
      <c r="D43" s="12"/>
      <c r="E43" s="12"/>
      <c r="F43" s="12"/>
      <c r="G43" s="12"/>
      <c r="H43" s="12"/>
      <c r="I43" s="12"/>
      <c r="J43" s="12"/>
      <c r="K43" s="12"/>
      <c r="L43" s="12"/>
      <c r="M43" s="12"/>
      <c r="N43" s="12"/>
      <c r="P43" s="15"/>
      <c r="Q43" s="15"/>
      <c r="R43" s="15"/>
      <c r="S43" s="15"/>
      <c r="T43" s="15"/>
      <c r="U43" s="15"/>
      <c r="V43" s="15"/>
      <c r="W43" s="15"/>
      <c r="X43" s="15"/>
      <c r="Y43" s="15"/>
      <c r="Z43" s="15"/>
      <c r="AA43" s="15"/>
      <c r="AB43" s="15"/>
    </row>
    <row r="44" spans="2:28" x14ac:dyDescent="0.3">
      <c r="B44" s="20" t="s">
        <v>350</v>
      </c>
      <c r="C44" s="21"/>
      <c r="D44" s="21"/>
      <c r="E44" s="21"/>
      <c r="F44" s="21"/>
      <c r="G44" s="21"/>
      <c r="H44" s="21"/>
      <c r="I44" s="21"/>
      <c r="J44" s="21"/>
      <c r="K44" s="21"/>
      <c r="L44" s="21"/>
      <c r="M44" s="21"/>
      <c r="N44" s="21"/>
      <c r="P44" s="15"/>
      <c r="Q44" s="15"/>
      <c r="R44" s="15"/>
      <c r="S44" s="15"/>
      <c r="T44" s="15"/>
      <c r="U44" s="15"/>
      <c r="V44" s="15"/>
      <c r="W44" s="15"/>
      <c r="X44" s="15"/>
      <c r="Y44" s="15"/>
      <c r="Z44" s="15"/>
      <c r="AA44" s="15"/>
      <c r="AB44" s="15"/>
    </row>
    <row r="45" spans="2:28" x14ac:dyDescent="0.3">
      <c r="B45" s="20" t="s">
        <v>351</v>
      </c>
      <c r="C45" s="21"/>
      <c r="D45" s="21"/>
      <c r="E45" s="21"/>
      <c r="F45" s="21"/>
      <c r="G45" s="21"/>
      <c r="H45" s="21"/>
      <c r="I45" s="21"/>
      <c r="J45" s="21"/>
      <c r="K45" s="21"/>
      <c r="L45" s="21"/>
      <c r="M45" s="21"/>
      <c r="N45" s="21"/>
      <c r="P45" s="15"/>
      <c r="Q45" s="15"/>
      <c r="R45" s="15"/>
      <c r="S45" s="15"/>
      <c r="T45" s="15"/>
      <c r="U45" s="15"/>
      <c r="V45" s="15"/>
      <c r="W45" s="15"/>
      <c r="X45" s="15"/>
      <c r="Y45" s="15"/>
      <c r="Z45" s="15"/>
      <c r="AA45" s="15"/>
      <c r="AB45" s="15"/>
    </row>
    <row r="46" spans="2:28" x14ac:dyDescent="0.3">
      <c r="B46" s="20" t="s">
        <v>352</v>
      </c>
      <c r="C46" s="21"/>
      <c r="D46" s="21"/>
      <c r="E46" s="21"/>
      <c r="F46" s="21"/>
      <c r="G46" s="21"/>
      <c r="H46" s="21"/>
      <c r="I46" s="21"/>
      <c r="J46" s="21"/>
      <c r="K46" s="21"/>
      <c r="L46" s="21"/>
      <c r="M46" s="21"/>
      <c r="N46" s="21"/>
      <c r="O46" s="17"/>
      <c r="P46" s="15"/>
      <c r="Q46" s="15"/>
      <c r="R46" s="15"/>
      <c r="S46" s="15"/>
      <c r="T46" s="15"/>
      <c r="U46" s="15"/>
      <c r="V46" s="15"/>
      <c r="W46" s="15"/>
      <c r="X46" s="15"/>
      <c r="Y46" s="15"/>
      <c r="Z46" s="15"/>
      <c r="AA46" s="15"/>
      <c r="AB46" s="15"/>
    </row>
    <row r="47" spans="2:28" x14ac:dyDescent="0.3">
      <c r="O47" s="17"/>
      <c r="P47" s="15"/>
      <c r="Q47" s="15"/>
      <c r="R47" s="15"/>
      <c r="S47" s="15"/>
      <c r="T47" s="15"/>
      <c r="U47" s="15"/>
      <c r="V47" s="15"/>
      <c r="W47" s="15"/>
      <c r="X47" s="15"/>
      <c r="Y47" s="15"/>
      <c r="Z47" s="15"/>
      <c r="AA47" s="15"/>
      <c r="AB47" s="15"/>
    </row>
    <row r="48" spans="2:28" x14ac:dyDescent="0.3">
      <c r="B48" s="1" t="s">
        <v>98</v>
      </c>
      <c r="P48" s="15"/>
      <c r="Q48" s="15"/>
      <c r="R48" s="15"/>
      <c r="S48" s="15"/>
      <c r="T48" s="15"/>
      <c r="U48" s="15"/>
      <c r="V48" s="15"/>
      <c r="W48" s="15"/>
      <c r="X48" s="15"/>
      <c r="Y48" s="15"/>
      <c r="Z48" s="15"/>
      <c r="AA48" s="15"/>
      <c r="AB48" s="15"/>
    </row>
    <row r="49" spans="2:29" x14ac:dyDescent="0.3">
      <c r="B49" s="11"/>
      <c r="N49" s="28"/>
      <c r="O49" s="26"/>
      <c r="P49" s="26"/>
      <c r="Q49" s="26"/>
      <c r="R49" s="26"/>
      <c r="S49" s="26"/>
      <c r="T49" s="26"/>
      <c r="U49" s="26"/>
      <c r="V49" s="26"/>
      <c r="W49" s="26"/>
      <c r="X49" s="26"/>
      <c r="Y49" s="26"/>
      <c r="Z49" s="26"/>
      <c r="AA49" s="26"/>
      <c r="AB49" s="26"/>
      <c r="AC49" s="28"/>
    </row>
    <row r="50" spans="2:29" x14ac:dyDescent="0.3">
      <c r="B50" s="11"/>
      <c r="N50" s="28"/>
      <c r="O50" s="14"/>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N54" s="28"/>
      <c r="O54" s="15"/>
      <c r="P54" s="26"/>
      <c r="Q54" s="26"/>
      <c r="R54" s="26"/>
      <c r="S54" s="26"/>
      <c r="T54" s="26"/>
      <c r="U54" s="26"/>
      <c r="V54" s="26"/>
      <c r="W54" s="26"/>
      <c r="X54" s="26"/>
      <c r="Y54" s="26"/>
      <c r="Z54" s="26"/>
      <c r="AA54" s="26"/>
      <c r="AB54" s="26"/>
      <c r="AC54" s="28"/>
    </row>
    <row r="55" spans="2:29" x14ac:dyDescent="0.3">
      <c r="B55" s="11"/>
      <c r="M55" s="30"/>
      <c r="N55" s="28"/>
      <c r="O55" s="27"/>
      <c r="P55" s="26"/>
      <c r="Q55" s="26"/>
      <c r="R55" s="26"/>
      <c r="S55" s="26"/>
      <c r="T55" s="26"/>
      <c r="U55" s="26"/>
      <c r="V55" s="26"/>
      <c r="W55" s="26"/>
      <c r="X55" s="26"/>
      <c r="Y55" s="26"/>
      <c r="Z55" s="26"/>
      <c r="AA55" s="26"/>
      <c r="AB55" s="26"/>
      <c r="AC55" s="28"/>
    </row>
    <row r="56" spans="2:29" x14ac:dyDescent="0.3">
      <c r="O56" s="27"/>
      <c r="P56" s="26"/>
      <c r="Q56" s="26"/>
      <c r="R56" s="26"/>
      <c r="S56" s="26"/>
      <c r="T56" s="26"/>
      <c r="U56" s="26"/>
      <c r="V56" s="26"/>
      <c r="W56" s="26"/>
      <c r="X56" s="26"/>
      <c r="Y56" s="26"/>
      <c r="Z56" s="26"/>
      <c r="AA56" s="26"/>
      <c r="AB56" s="26"/>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35"/>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N60" s="28"/>
      <c r="O60" s="29"/>
      <c r="P60" s="28"/>
      <c r="Q60" s="28"/>
      <c r="R60" s="28"/>
      <c r="S60" s="28"/>
      <c r="T60" s="28"/>
      <c r="U60" s="28"/>
      <c r="V60" s="28"/>
      <c r="W60" s="28"/>
      <c r="X60" s="28"/>
      <c r="Y60" s="28"/>
      <c r="Z60" s="28"/>
      <c r="AA60" s="28"/>
      <c r="AB60" s="28"/>
      <c r="AC60" s="28"/>
    </row>
    <row r="61" spans="2:29" x14ac:dyDescent="0.3">
      <c r="O61" s="11"/>
    </row>
    <row r="63" spans="2:29" x14ac:dyDescent="0.3">
      <c r="O63" s="11"/>
    </row>
    <row r="64" spans="2:29" x14ac:dyDescent="0.3">
      <c r="O64" s="11"/>
    </row>
    <row r="67" spans="2:15" x14ac:dyDescent="0.3">
      <c r="O67" s="8"/>
    </row>
    <row r="75" spans="2:15" x14ac:dyDescent="0.3">
      <c r="B75" s="1"/>
    </row>
    <row r="76" spans="2:15" x14ac:dyDescent="0.3">
      <c r="B76" s="65"/>
      <c r="C76" s="65"/>
      <c r="D76" s="65"/>
      <c r="E76" s="65"/>
      <c r="F76" s="65"/>
      <c r="G76" s="65"/>
      <c r="H76" s="65"/>
      <c r="I76" s="65"/>
      <c r="J76" s="65"/>
      <c r="K76" s="65"/>
      <c r="L76" s="65"/>
      <c r="N76" s="8"/>
    </row>
    <row r="77" spans="2:15" x14ac:dyDescent="0.3">
      <c r="C77" s="23"/>
    </row>
    <row r="78" spans="2:15" x14ac:dyDescent="0.3">
      <c r="C78" s="23"/>
    </row>
    <row r="79" spans="2:15" x14ac:dyDescent="0.3">
      <c r="C79" s="23"/>
    </row>
    <row r="80" spans="2:15" x14ac:dyDescent="0.3">
      <c r="C80" s="23"/>
    </row>
    <row r="81" spans="3:3" x14ac:dyDescent="0.3">
      <c r="C81" s="23"/>
    </row>
  </sheetData>
  <mergeCells count="1">
    <mergeCell ref="B76:L76"/>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31BA-EE84-441C-A361-3C4328E547AF}">
  <dimension ref="B2:AI81"/>
  <sheetViews>
    <sheetView showGridLines="0" topLeftCell="A4" zoomScale="85" zoomScaleNormal="85" workbookViewId="0">
      <selection activeCell="J25" sqref="J25"/>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 min="25" max="25" width="13.125" customWidth="1"/>
    <col min="27" max="27" width="9" customWidth="1"/>
    <col min="32" max="32" width="12.25" bestFit="1" customWidth="1"/>
    <col min="34" max="34" width="10.375" bestFit="1" customWidth="1"/>
  </cols>
  <sheetData>
    <row r="2" spans="2:35" x14ac:dyDescent="0.3">
      <c r="AF2" s="54">
        <v>46181</v>
      </c>
    </row>
    <row r="3" spans="2:35" x14ac:dyDescent="0.3">
      <c r="B3" s="1" t="s">
        <v>80</v>
      </c>
      <c r="O3" s="1" t="s">
        <v>97</v>
      </c>
      <c r="AF3" t="s">
        <v>329</v>
      </c>
    </row>
    <row r="4" spans="2:35" x14ac:dyDescent="0.3">
      <c r="AF4" t="s">
        <v>330</v>
      </c>
    </row>
    <row r="5" spans="2:35" x14ac:dyDescent="0.3">
      <c r="AF5" t="s">
        <v>331</v>
      </c>
    </row>
    <row r="7" spans="2:35" x14ac:dyDescent="0.3">
      <c r="Y7" s="51"/>
    </row>
    <row r="10" spans="2:35" x14ac:dyDescent="0.3">
      <c r="AF10" s="54">
        <v>46181</v>
      </c>
      <c r="AG10" s="56"/>
      <c r="AH10" s="56" t="s">
        <v>320</v>
      </c>
      <c r="AI10" s="57"/>
    </row>
    <row r="11" spans="2:35" x14ac:dyDescent="0.3">
      <c r="AF11" s="3" t="s">
        <v>319</v>
      </c>
      <c r="AG11" s="3" t="s">
        <v>233</v>
      </c>
      <c r="AH11" s="3" t="s">
        <v>234</v>
      </c>
      <c r="AI11" s="3" t="s">
        <v>308</v>
      </c>
    </row>
    <row r="12" spans="2:35" x14ac:dyDescent="0.3">
      <c r="AF12" s="3"/>
      <c r="AG12" s="3">
        <v>728.25</v>
      </c>
      <c r="AH12" s="3">
        <v>143.25</v>
      </c>
      <c r="AI12" s="3">
        <v>612.5</v>
      </c>
    </row>
    <row r="15" spans="2:35" x14ac:dyDescent="0.3">
      <c r="AF15" s="54">
        <v>46181</v>
      </c>
      <c r="AG15" s="55"/>
      <c r="AH15" s="56" t="s">
        <v>323</v>
      </c>
      <c r="AI15" s="57"/>
    </row>
    <row r="16" spans="2:35" x14ac:dyDescent="0.3">
      <c r="AF16" s="3" t="s">
        <v>321</v>
      </c>
      <c r="AG16" s="53" t="s">
        <v>233</v>
      </c>
      <c r="AH16" s="3" t="s">
        <v>234</v>
      </c>
      <c r="AI16" s="3" t="s">
        <v>308</v>
      </c>
    </row>
    <row r="17" spans="2:35" x14ac:dyDescent="0.3">
      <c r="AF17" s="3" t="s">
        <v>322</v>
      </c>
      <c r="AG17" s="53">
        <v>790</v>
      </c>
      <c r="AH17" s="3">
        <v>1170</v>
      </c>
      <c r="AI17" s="3">
        <v>632</v>
      </c>
    </row>
    <row r="18" spans="2:35" x14ac:dyDescent="0.3">
      <c r="AF18" s="3" t="s">
        <v>324</v>
      </c>
      <c r="AG18" s="53">
        <v>790</v>
      </c>
      <c r="AH18" s="3">
        <v>1140</v>
      </c>
      <c r="AI18" s="3">
        <v>655</v>
      </c>
    </row>
    <row r="19" spans="2:35" x14ac:dyDescent="0.3">
      <c r="AF19" s="3" t="s">
        <v>325</v>
      </c>
      <c r="AG19" s="53">
        <v>805</v>
      </c>
      <c r="AH19" s="3">
        <v>1100</v>
      </c>
      <c r="AI19" s="3">
        <v>700</v>
      </c>
    </row>
    <row r="20" spans="2:35" x14ac:dyDescent="0.3">
      <c r="AF20" s="3" t="s">
        <v>326</v>
      </c>
      <c r="AG20" s="53">
        <v>1000</v>
      </c>
      <c r="AH20" s="3"/>
      <c r="AI20" s="3"/>
    </row>
    <row r="21" spans="2:35" x14ac:dyDescent="0.3">
      <c r="C21" s="32"/>
      <c r="D21" s="33"/>
      <c r="E21" s="33"/>
    </row>
    <row r="22" spans="2:35" ht="27" x14ac:dyDescent="0.3">
      <c r="B22" s="4"/>
      <c r="C22" s="34">
        <v>46167</v>
      </c>
      <c r="D22" s="34">
        <v>46174</v>
      </c>
      <c r="E22" s="34">
        <v>46181</v>
      </c>
      <c r="F22" s="31" t="s">
        <v>135</v>
      </c>
      <c r="H22" s="9"/>
      <c r="J22" s="9"/>
      <c r="O22" s="6" t="s">
        <v>4</v>
      </c>
      <c r="P22" s="5">
        <v>46167</v>
      </c>
      <c r="Q22" s="5">
        <v>46174</v>
      </c>
      <c r="R22" s="5">
        <v>46181</v>
      </c>
      <c r="S22" s="7" t="s">
        <v>8</v>
      </c>
      <c r="AF22" s="54">
        <v>46181</v>
      </c>
      <c r="AG22" s="55"/>
      <c r="AH22" s="56" t="s">
        <v>327</v>
      </c>
      <c r="AI22" s="57"/>
    </row>
    <row r="23" spans="2:35" x14ac:dyDescent="0.3">
      <c r="B23" s="4" t="s">
        <v>21</v>
      </c>
      <c r="C23" s="19">
        <v>50</v>
      </c>
      <c r="D23" s="19">
        <v>100</v>
      </c>
      <c r="E23" s="19">
        <v>100</v>
      </c>
      <c r="F23" s="19">
        <v>100</v>
      </c>
      <c r="H23" s="10"/>
      <c r="J23" s="1"/>
      <c r="O23" s="6" t="s">
        <v>1</v>
      </c>
      <c r="P23" s="2">
        <v>790</v>
      </c>
      <c r="Q23" s="2">
        <v>795</v>
      </c>
      <c r="R23" s="2">
        <v>805</v>
      </c>
      <c r="S23" s="3" t="s">
        <v>15</v>
      </c>
      <c r="AF23" s="3" t="s">
        <v>321</v>
      </c>
      <c r="AG23" s="59" t="s">
        <v>233</v>
      </c>
      <c r="AH23" s="52" t="s">
        <v>328</v>
      </c>
      <c r="AI23" s="52" t="s">
        <v>308</v>
      </c>
    </row>
    <row r="24" spans="2:35" x14ac:dyDescent="0.3">
      <c r="B24" s="4" t="s">
        <v>5</v>
      </c>
      <c r="C24" s="19">
        <v>20</v>
      </c>
      <c r="D24" s="19">
        <v>70</v>
      </c>
      <c r="E24" s="19">
        <v>50</v>
      </c>
      <c r="F24" s="19">
        <v>50</v>
      </c>
      <c r="H24" s="10"/>
      <c r="J24" s="1"/>
      <c r="O24" s="6" t="s">
        <v>0</v>
      </c>
      <c r="P24" s="2">
        <v>770</v>
      </c>
      <c r="Q24" s="2">
        <v>770</v>
      </c>
      <c r="R24" s="2">
        <v>790</v>
      </c>
      <c r="S24" s="3" t="s">
        <v>15</v>
      </c>
      <c r="AF24" s="3" t="s">
        <v>322</v>
      </c>
      <c r="AG24" s="60">
        <f>AG17-$AG$12</f>
        <v>61.75</v>
      </c>
      <c r="AH24" s="58">
        <f>AH17/7.45-$AH$12</f>
        <v>13.796979865771817</v>
      </c>
      <c r="AI24" s="61">
        <f>AI17-$AI$12</f>
        <v>19.5</v>
      </c>
    </row>
    <row r="25" spans="2:35" x14ac:dyDescent="0.3">
      <c r="B25" s="4" t="s">
        <v>6</v>
      </c>
      <c r="C25" s="19">
        <v>50</v>
      </c>
      <c r="D25" s="19">
        <v>85</v>
      </c>
      <c r="E25" s="19">
        <v>55</v>
      </c>
      <c r="F25" s="19">
        <v>55</v>
      </c>
      <c r="H25" s="1"/>
      <c r="J25" s="1"/>
      <c r="O25" s="6" t="s">
        <v>2</v>
      </c>
      <c r="P25" s="2">
        <v>1010</v>
      </c>
      <c r="Q25" s="2">
        <v>1015</v>
      </c>
      <c r="R25" s="2">
        <v>1010</v>
      </c>
      <c r="S25" s="3" t="s">
        <v>15</v>
      </c>
      <c r="AF25" s="3" t="s">
        <v>324</v>
      </c>
      <c r="AG25" s="60">
        <f>AG18-$AG$12</f>
        <v>61.75</v>
      </c>
      <c r="AH25" s="58">
        <f>AH18/7.45-$AH$12</f>
        <v>9.7701342281879135</v>
      </c>
      <c r="AI25" s="61">
        <f>AI18-$AI$12</f>
        <v>42.5</v>
      </c>
    </row>
    <row r="26" spans="2:35" x14ac:dyDescent="0.3">
      <c r="B26" s="4" t="s">
        <v>7</v>
      </c>
      <c r="C26" s="19">
        <v>30</v>
      </c>
      <c r="D26" s="19">
        <v>80</v>
      </c>
      <c r="E26" s="19">
        <v>65</v>
      </c>
      <c r="F26" s="19">
        <v>65</v>
      </c>
      <c r="H26" s="10"/>
      <c r="J26" s="10"/>
      <c r="O26" s="6" t="s">
        <v>3</v>
      </c>
      <c r="P26" s="50">
        <v>780</v>
      </c>
      <c r="Q26" s="50">
        <v>765</v>
      </c>
      <c r="R26" s="50">
        <v>790</v>
      </c>
      <c r="S26" s="3"/>
      <c r="AF26" s="3" t="s">
        <v>325</v>
      </c>
      <c r="AG26" s="60">
        <f>AG19-$AG$12</f>
        <v>76.75</v>
      </c>
      <c r="AH26" s="58">
        <f>AH19/7.45-$AH$12</f>
        <v>4.4010067114093943</v>
      </c>
      <c r="AI26" s="61">
        <f>AI19-$AI$12</f>
        <v>87.5</v>
      </c>
    </row>
    <row r="27" spans="2:35" x14ac:dyDescent="0.3">
      <c r="O27" s="6"/>
      <c r="P27" s="2"/>
      <c r="Q27" s="2"/>
      <c r="R27" s="2"/>
      <c r="S27" s="2"/>
      <c r="AF27" s="62" t="s">
        <v>332</v>
      </c>
      <c r="AG27" s="63">
        <f>AG26-AG24</f>
        <v>15</v>
      </c>
      <c r="AH27" s="63">
        <f>AH26-AH24</f>
        <v>-9.395973154362423</v>
      </c>
      <c r="AI27" s="63">
        <f>AI26-AI24</f>
        <v>68</v>
      </c>
    </row>
    <row r="28" spans="2:35" x14ac:dyDescent="0.3">
      <c r="B28" s="12" t="s">
        <v>16</v>
      </c>
      <c r="AF28" s="62" t="s">
        <v>333</v>
      </c>
      <c r="AG28" s="63">
        <f>AG26-AG25</f>
        <v>15</v>
      </c>
      <c r="AH28" s="63">
        <f>AH26-AH25</f>
        <v>-5.3691275167785193</v>
      </c>
      <c r="AI28" s="63">
        <f>AI26-AI25</f>
        <v>45</v>
      </c>
    </row>
    <row r="29" spans="2:35" ht="21" customHeight="1" x14ac:dyDescent="0.3">
      <c r="B29" s="11" t="s">
        <v>334</v>
      </c>
      <c r="O29" s="14" t="s">
        <v>176</v>
      </c>
      <c r="P29" s="15"/>
      <c r="Q29" s="15"/>
      <c r="R29" s="15"/>
      <c r="S29" s="15"/>
      <c r="T29" s="15"/>
      <c r="U29" s="15"/>
      <c r="V29" s="15"/>
      <c r="W29" s="15"/>
      <c r="X29" s="15"/>
      <c r="AG29" s="37"/>
    </row>
    <row r="30" spans="2:35" ht="21" customHeight="1" x14ac:dyDescent="0.3">
      <c r="B30" s="43" t="s">
        <v>335</v>
      </c>
      <c r="O30" s="16" t="s">
        <v>50</v>
      </c>
      <c r="P30" s="15"/>
      <c r="Q30" s="15"/>
      <c r="R30" s="15"/>
      <c r="S30" s="15"/>
      <c r="T30" s="15"/>
      <c r="U30" s="15"/>
      <c r="V30" s="15"/>
      <c r="W30" s="15"/>
      <c r="X30" s="15"/>
      <c r="Y30" s="15"/>
      <c r="Z30" s="15"/>
      <c r="AA30" s="15"/>
      <c r="AB30" s="15"/>
      <c r="AE30" s="15"/>
      <c r="AF30" s="15"/>
      <c r="AG30" s="39"/>
    </row>
    <row r="31" spans="2:35" x14ac:dyDescent="0.3">
      <c r="B31" s="11" t="s">
        <v>336</v>
      </c>
      <c r="O31" s="17" t="s">
        <v>338</v>
      </c>
      <c r="P31" s="15"/>
      <c r="Q31" s="15"/>
      <c r="R31" s="15"/>
      <c r="S31" s="15"/>
      <c r="T31" s="15"/>
      <c r="U31" s="15"/>
      <c r="V31" s="15"/>
      <c r="W31" s="15"/>
      <c r="X31" s="15"/>
      <c r="Y31" s="15"/>
      <c r="Z31" s="15"/>
      <c r="AA31" s="15"/>
      <c r="AB31" s="15"/>
    </row>
    <row r="32" spans="2:35" x14ac:dyDescent="0.3">
      <c r="B32" s="11" t="s">
        <v>337</v>
      </c>
      <c r="O32" s="17" t="s">
        <v>339</v>
      </c>
      <c r="P32" s="15"/>
      <c r="Q32" s="15"/>
      <c r="R32" s="15"/>
      <c r="S32" s="15"/>
      <c r="T32" s="15"/>
      <c r="U32" s="15"/>
      <c r="V32" s="15"/>
      <c r="W32" s="15"/>
      <c r="X32" s="15"/>
      <c r="Y32" s="15"/>
      <c r="Z32" s="15"/>
      <c r="AA32" s="15"/>
      <c r="AB32" s="15"/>
    </row>
    <row r="33" spans="2:28" ht="13.9" customHeight="1" x14ac:dyDescent="0.3">
      <c r="B33" s="11"/>
      <c r="O33" s="17"/>
      <c r="P33" s="15"/>
      <c r="Q33" s="15"/>
      <c r="R33" s="15"/>
      <c r="S33" s="15"/>
      <c r="T33" s="15"/>
      <c r="U33" s="15"/>
      <c r="V33" s="15"/>
      <c r="W33" s="15"/>
      <c r="X33" s="15"/>
      <c r="Y33" s="15"/>
      <c r="Z33" s="15"/>
      <c r="AA33" s="15"/>
      <c r="AB33" s="15"/>
    </row>
    <row r="34" spans="2:28" x14ac:dyDescent="0.3">
      <c r="O34" s="14" t="s">
        <v>40</v>
      </c>
      <c r="P34" s="15"/>
      <c r="Q34" s="15"/>
      <c r="R34" s="15"/>
      <c r="S34" s="15"/>
      <c r="T34" s="15"/>
      <c r="U34" s="15"/>
      <c r="V34" s="15"/>
      <c r="W34" s="15"/>
      <c r="X34" s="15"/>
      <c r="Y34" s="15"/>
      <c r="Z34" s="15"/>
      <c r="AA34" s="15"/>
      <c r="AB34" s="15"/>
    </row>
    <row r="35" spans="2:28" x14ac:dyDescent="0.3">
      <c r="B35" s="12" t="s">
        <v>296</v>
      </c>
      <c r="O35" s="17" t="s">
        <v>340</v>
      </c>
      <c r="P35" s="15"/>
      <c r="Q35" s="15"/>
      <c r="R35" s="15"/>
      <c r="S35" s="15"/>
      <c r="T35" s="15"/>
      <c r="U35" s="15"/>
      <c r="V35" s="15"/>
      <c r="W35" s="15"/>
      <c r="X35" s="15"/>
      <c r="Y35" s="15"/>
      <c r="Z35" s="15"/>
      <c r="AA35" s="15"/>
      <c r="AB35" s="15"/>
    </row>
    <row r="36" spans="2:28" x14ac:dyDescent="0.3">
      <c r="B36" s="11" t="s">
        <v>280</v>
      </c>
      <c r="O36" s="14" t="s">
        <v>44</v>
      </c>
      <c r="P36" s="15"/>
      <c r="Q36" s="15"/>
      <c r="R36" s="15"/>
      <c r="S36" s="15"/>
      <c r="T36" s="15"/>
      <c r="U36" s="15"/>
      <c r="V36" s="15"/>
      <c r="W36" s="15"/>
      <c r="X36" s="15"/>
      <c r="Y36" s="15"/>
      <c r="Z36" s="15"/>
      <c r="AA36" s="15"/>
      <c r="AB36" s="15"/>
    </row>
    <row r="37" spans="2:28" x14ac:dyDescent="0.3">
      <c r="B37" s="11" t="s">
        <v>265</v>
      </c>
      <c r="O37" s="17" t="s">
        <v>341</v>
      </c>
      <c r="P37" s="15"/>
      <c r="Q37" s="15"/>
      <c r="R37" s="15"/>
      <c r="S37" s="15"/>
      <c r="T37" s="15"/>
      <c r="U37" s="15"/>
      <c r="V37" s="15"/>
      <c r="W37" s="15"/>
      <c r="X37" s="15"/>
      <c r="Y37" s="15"/>
      <c r="Z37" s="15"/>
      <c r="AA37" s="15"/>
      <c r="AB37" s="15"/>
    </row>
    <row r="38" spans="2:28" x14ac:dyDescent="0.3">
      <c r="B38" s="11" t="s">
        <v>255</v>
      </c>
      <c r="O38" s="17" t="s">
        <v>342</v>
      </c>
      <c r="P38" s="15"/>
      <c r="Q38" s="15"/>
      <c r="R38" s="15"/>
      <c r="S38" s="15"/>
      <c r="T38" s="15"/>
      <c r="U38" s="15"/>
      <c r="V38" s="15"/>
      <c r="W38" s="15"/>
      <c r="X38" s="15"/>
      <c r="Y38" s="15"/>
      <c r="Z38" s="15"/>
      <c r="AA38" s="15"/>
      <c r="AB38" s="15"/>
    </row>
    <row r="39" spans="2:28" x14ac:dyDescent="0.3">
      <c r="B39" s="11" t="s">
        <v>281</v>
      </c>
      <c r="E39" t="s">
        <v>297</v>
      </c>
      <c r="P39" s="15"/>
      <c r="Q39" s="15"/>
      <c r="R39" s="15"/>
      <c r="S39" s="15"/>
      <c r="T39" s="15"/>
      <c r="U39" s="15"/>
      <c r="V39" s="15"/>
      <c r="W39" s="15"/>
      <c r="X39" s="15"/>
      <c r="Y39" s="15"/>
      <c r="Z39" s="15"/>
      <c r="AA39" s="15"/>
      <c r="AB39" s="15"/>
    </row>
    <row r="40" spans="2:28" ht="18" customHeight="1" x14ac:dyDescent="0.3">
      <c r="B40" s="11" t="s">
        <v>266</v>
      </c>
      <c r="O40" s="14" t="s">
        <v>47</v>
      </c>
      <c r="P40" s="15"/>
      <c r="Q40" s="15"/>
      <c r="R40" s="15"/>
      <c r="S40" s="15"/>
      <c r="T40" s="15"/>
      <c r="U40" s="15"/>
      <c r="V40" s="15"/>
      <c r="W40" s="15"/>
      <c r="X40" s="15"/>
      <c r="Y40" s="15"/>
      <c r="Z40" s="15"/>
      <c r="AA40" s="15"/>
      <c r="AB40" s="15"/>
    </row>
    <row r="41" spans="2:28" ht="12.6" customHeight="1" x14ac:dyDescent="0.3">
      <c r="B41" s="29"/>
      <c r="O41" s="17" t="s">
        <v>343</v>
      </c>
      <c r="P41" s="15"/>
      <c r="Q41" s="15"/>
      <c r="R41" s="15"/>
      <c r="S41" s="15"/>
      <c r="T41" s="15"/>
      <c r="U41" s="15"/>
      <c r="V41" s="15"/>
      <c r="W41" s="15"/>
      <c r="X41" s="15"/>
      <c r="Y41" s="15"/>
      <c r="Z41" s="15"/>
      <c r="AA41" s="15"/>
      <c r="AB41" s="15"/>
    </row>
    <row r="42" spans="2:28" x14ac:dyDescent="0.3">
      <c r="O42" s="17" t="s">
        <v>344</v>
      </c>
      <c r="P42" s="15"/>
      <c r="Q42" s="15"/>
      <c r="R42" s="15"/>
      <c r="S42" s="15"/>
      <c r="T42" s="15"/>
      <c r="U42" s="15"/>
      <c r="V42" s="15"/>
      <c r="W42" s="15"/>
      <c r="X42" s="15"/>
      <c r="Y42" s="15"/>
      <c r="Z42" s="15"/>
      <c r="AA42" s="15"/>
      <c r="AB42" s="15"/>
    </row>
    <row r="43" spans="2:28" x14ac:dyDescent="0.3">
      <c r="B43" s="12" t="s">
        <v>17</v>
      </c>
      <c r="C43" s="12"/>
      <c r="D43" s="12"/>
      <c r="E43" s="12"/>
      <c r="F43" s="12"/>
      <c r="G43" s="12"/>
      <c r="H43" s="12"/>
      <c r="I43" s="12"/>
      <c r="J43" s="12"/>
      <c r="K43" s="12"/>
      <c r="L43" s="12"/>
      <c r="M43" s="12"/>
      <c r="N43" s="12"/>
      <c r="P43" s="15"/>
      <c r="Q43" s="15"/>
      <c r="R43" s="15"/>
      <c r="S43" s="15"/>
      <c r="T43" s="15"/>
      <c r="U43" s="15"/>
      <c r="V43" s="15"/>
      <c r="W43" s="15"/>
      <c r="X43" s="15"/>
      <c r="Y43" s="15"/>
      <c r="Z43" s="15"/>
      <c r="AA43" s="15"/>
      <c r="AB43" s="15"/>
    </row>
    <row r="44" spans="2:28" x14ac:dyDescent="0.3">
      <c r="B44" s="20" t="s">
        <v>317</v>
      </c>
      <c r="C44" s="21"/>
      <c r="D44" s="21"/>
      <c r="E44" s="21"/>
      <c r="F44" s="21"/>
      <c r="G44" s="21"/>
      <c r="H44" s="21"/>
      <c r="I44" s="21"/>
      <c r="J44" s="21"/>
      <c r="K44" s="21"/>
      <c r="L44" s="21"/>
      <c r="M44" s="21"/>
      <c r="N44" s="21"/>
      <c r="P44" s="15"/>
      <c r="Q44" s="15"/>
      <c r="R44" s="15"/>
      <c r="S44" s="15"/>
      <c r="T44" s="15"/>
      <c r="U44" s="15"/>
      <c r="V44" s="15"/>
      <c r="W44" s="15"/>
      <c r="X44" s="15"/>
      <c r="Y44" s="15"/>
      <c r="Z44" s="15"/>
      <c r="AA44" s="15"/>
      <c r="AB44" s="15"/>
    </row>
    <row r="45" spans="2:28" x14ac:dyDescent="0.3">
      <c r="B45" s="20" t="s">
        <v>299</v>
      </c>
      <c r="C45" s="21"/>
      <c r="D45" s="21"/>
      <c r="E45" s="21"/>
      <c r="F45" s="21"/>
      <c r="G45" s="21"/>
      <c r="H45" s="21"/>
      <c r="I45" s="21"/>
      <c r="J45" s="21"/>
      <c r="K45" s="21"/>
      <c r="L45" s="21"/>
      <c r="M45" s="21"/>
      <c r="N45" s="21"/>
      <c r="P45" s="15"/>
      <c r="Q45" s="15"/>
      <c r="R45" s="15"/>
      <c r="S45" s="15"/>
      <c r="T45" s="15"/>
      <c r="U45" s="15"/>
      <c r="V45" s="15"/>
      <c r="W45" s="15"/>
      <c r="X45" s="15"/>
      <c r="Y45" s="15"/>
      <c r="Z45" s="15"/>
      <c r="AA45" s="15"/>
      <c r="AB45" s="15"/>
    </row>
    <row r="46" spans="2:28" x14ac:dyDescent="0.3">
      <c r="B46" s="20" t="s">
        <v>318</v>
      </c>
      <c r="C46" s="21"/>
      <c r="D46" s="21"/>
      <c r="E46" s="21"/>
      <c r="F46" s="21"/>
      <c r="G46" s="21"/>
      <c r="H46" s="21"/>
      <c r="I46" s="21"/>
      <c r="J46" s="21"/>
      <c r="K46" s="21"/>
      <c r="L46" s="21"/>
      <c r="M46" s="21"/>
      <c r="N46" s="21"/>
      <c r="O46" s="17"/>
      <c r="P46" s="15"/>
      <c r="Q46" s="15"/>
      <c r="R46" s="15"/>
      <c r="S46" s="15"/>
      <c r="T46" s="15"/>
      <c r="U46" s="15"/>
      <c r="V46" s="15"/>
      <c r="W46" s="15"/>
      <c r="X46" s="15"/>
      <c r="Y46" s="15"/>
      <c r="Z46" s="15"/>
      <c r="AA46" s="15"/>
      <c r="AB46" s="15"/>
    </row>
    <row r="47" spans="2:28" x14ac:dyDescent="0.3">
      <c r="O47" s="17"/>
      <c r="P47" s="15"/>
      <c r="Q47" s="15"/>
      <c r="R47" s="15"/>
      <c r="S47" s="15"/>
      <c r="T47" s="15"/>
      <c r="U47" s="15"/>
      <c r="V47" s="15"/>
      <c r="W47" s="15"/>
      <c r="X47" s="15"/>
      <c r="Y47" s="15"/>
      <c r="Z47" s="15"/>
      <c r="AA47" s="15"/>
      <c r="AB47" s="15"/>
    </row>
    <row r="48" spans="2:28" x14ac:dyDescent="0.3">
      <c r="B48" s="1" t="s">
        <v>98</v>
      </c>
      <c r="P48" s="15"/>
      <c r="Q48" s="15"/>
      <c r="R48" s="15"/>
      <c r="S48" s="15"/>
      <c r="T48" s="15"/>
      <c r="U48" s="15"/>
      <c r="V48" s="15"/>
      <c r="W48" s="15"/>
      <c r="X48" s="15"/>
      <c r="Y48" s="15"/>
      <c r="Z48" s="15"/>
      <c r="AA48" s="15"/>
      <c r="AB48" s="15"/>
    </row>
    <row r="49" spans="2:29" x14ac:dyDescent="0.3">
      <c r="B49" s="11"/>
      <c r="N49" s="28"/>
      <c r="O49" s="26"/>
      <c r="P49" s="26"/>
      <c r="Q49" s="26"/>
      <c r="R49" s="26"/>
      <c r="S49" s="26"/>
      <c r="T49" s="26"/>
      <c r="U49" s="26"/>
      <c r="V49" s="26"/>
      <c r="W49" s="26"/>
      <c r="X49" s="26"/>
      <c r="Y49" s="26"/>
      <c r="Z49" s="26"/>
      <c r="AA49" s="26"/>
      <c r="AB49" s="26"/>
      <c r="AC49" s="28"/>
    </row>
    <row r="50" spans="2:29" x14ac:dyDescent="0.3">
      <c r="B50" s="11"/>
      <c r="N50" s="28"/>
      <c r="O50" s="14"/>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N54" s="28"/>
      <c r="O54" s="15"/>
      <c r="P54" s="26"/>
      <c r="Q54" s="26"/>
      <c r="R54" s="26"/>
      <c r="S54" s="26"/>
      <c r="T54" s="26"/>
      <c r="U54" s="26"/>
      <c r="V54" s="26"/>
      <c r="W54" s="26"/>
      <c r="X54" s="26"/>
      <c r="Y54" s="26"/>
      <c r="Z54" s="26"/>
      <c r="AA54" s="26"/>
      <c r="AB54" s="26"/>
      <c r="AC54" s="28"/>
    </row>
    <row r="55" spans="2:29" x14ac:dyDescent="0.3">
      <c r="B55" s="11"/>
      <c r="M55" s="30"/>
      <c r="N55" s="28"/>
      <c r="O55" s="27"/>
      <c r="P55" s="26"/>
      <c r="Q55" s="26"/>
      <c r="R55" s="26"/>
      <c r="S55" s="26"/>
      <c r="T55" s="26"/>
      <c r="U55" s="26"/>
      <c r="V55" s="26"/>
      <c r="W55" s="26"/>
      <c r="X55" s="26"/>
      <c r="Y55" s="26"/>
      <c r="Z55" s="26"/>
      <c r="AA55" s="26"/>
      <c r="AB55" s="26"/>
      <c r="AC55" s="28"/>
    </row>
    <row r="56" spans="2:29" x14ac:dyDescent="0.3">
      <c r="O56" s="27"/>
      <c r="P56" s="26"/>
      <c r="Q56" s="26"/>
      <c r="R56" s="26"/>
      <c r="S56" s="26"/>
      <c r="T56" s="26"/>
      <c r="U56" s="26"/>
      <c r="V56" s="26"/>
      <c r="W56" s="26"/>
      <c r="X56" s="26"/>
      <c r="Y56" s="26"/>
      <c r="Z56" s="26"/>
      <c r="AA56" s="26"/>
      <c r="AB56" s="26"/>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35"/>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N60" s="28"/>
      <c r="O60" s="29"/>
      <c r="P60" s="28"/>
      <c r="Q60" s="28"/>
      <c r="R60" s="28"/>
      <c r="S60" s="28"/>
      <c r="T60" s="28"/>
      <c r="U60" s="28"/>
      <c r="V60" s="28"/>
      <c r="W60" s="28"/>
      <c r="X60" s="28"/>
      <c r="Y60" s="28"/>
      <c r="Z60" s="28"/>
      <c r="AA60" s="28"/>
      <c r="AB60" s="28"/>
      <c r="AC60" s="28"/>
    </row>
    <row r="61" spans="2:29" x14ac:dyDescent="0.3">
      <c r="O61" s="11"/>
    </row>
    <row r="63" spans="2:29" x14ac:dyDescent="0.3">
      <c r="O63" s="11"/>
    </row>
    <row r="64" spans="2:29" x14ac:dyDescent="0.3">
      <c r="O64" s="11"/>
    </row>
    <row r="67" spans="2:15" x14ac:dyDescent="0.3">
      <c r="O67" s="8"/>
    </row>
    <row r="75" spans="2:15" x14ac:dyDescent="0.3">
      <c r="B75" s="1"/>
    </row>
    <row r="76" spans="2:15" x14ac:dyDescent="0.3">
      <c r="B76" s="65"/>
      <c r="C76" s="65"/>
      <c r="D76" s="65"/>
      <c r="E76" s="65"/>
      <c r="F76" s="65"/>
      <c r="G76" s="65"/>
      <c r="H76" s="65"/>
      <c r="I76" s="65"/>
      <c r="J76" s="65"/>
      <c r="K76" s="65"/>
      <c r="L76" s="65"/>
      <c r="N76" s="8"/>
    </row>
    <row r="77" spans="2:15" x14ac:dyDescent="0.3">
      <c r="C77" s="23"/>
    </row>
    <row r="78" spans="2:15" x14ac:dyDescent="0.3">
      <c r="C78" s="23"/>
    </row>
    <row r="79" spans="2:15" x14ac:dyDescent="0.3">
      <c r="C79" s="23"/>
    </row>
    <row r="80" spans="2:15" x14ac:dyDescent="0.3">
      <c r="C80" s="23"/>
    </row>
    <row r="81" spans="3:3" x14ac:dyDescent="0.3">
      <c r="C81" s="23"/>
    </row>
  </sheetData>
  <mergeCells count="1">
    <mergeCell ref="B76:L76"/>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DA8E-1C0C-4A9B-A00E-D7311FF40472}">
  <dimension ref="B3:AH81"/>
  <sheetViews>
    <sheetView showGridLines="0" topLeftCell="A7" zoomScale="85" zoomScaleNormal="85" workbookViewId="0">
      <selection activeCell="R26" sqref="R26"/>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 min="25" max="25" width="13.125" customWidth="1"/>
  </cols>
  <sheetData>
    <row r="3" spans="2:34" x14ac:dyDescent="0.3">
      <c r="B3" s="1" t="s">
        <v>80</v>
      </c>
      <c r="O3" s="1" t="s">
        <v>97</v>
      </c>
    </row>
    <row r="6" spans="2:34" x14ac:dyDescent="0.3">
      <c r="Z6" t="s">
        <v>303</v>
      </c>
      <c r="AC6" t="s">
        <v>304</v>
      </c>
    </row>
    <row r="7" spans="2:34" x14ac:dyDescent="0.3">
      <c r="Z7" t="s">
        <v>301</v>
      </c>
    </row>
    <row r="8" spans="2:34" x14ac:dyDescent="0.3">
      <c r="Z8" t="s">
        <v>302</v>
      </c>
      <c r="AC8" t="s">
        <v>305</v>
      </c>
    </row>
    <row r="15" spans="2:34" x14ac:dyDescent="0.3">
      <c r="AE15" t="s">
        <v>232</v>
      </c>
      <c r="AF15" t="s">
        <v>233</v>
      </c>
      <c r="AG15" t="s">
        <v>234</v>
      </c>
      <c r="AH15" t="s">
        <v>308</v>
      </c>
    </row>
    <row r="16" spans="2:34" x14ac:dyDescent="0.3">
      <c r="AF16">
        <v>727</v>
      </c>
      <c r="AG16">
        <v>140.85</v>
      </c>
      <c r="AH16">
        <v>632</v>
      </c>
    </row>
    <row r="17" spans="2:33" x14ac:dyDescent="0.3">
      <c r="AD17">
        <v>670</v>
      </c>
    </row>
    <row r="18" spans="2:33" x14ac:dyDescent="0.3">
      <c r="AD18" t="s">
        <v>227</v>
      </c>
      <c r="AE18">
        <v>780</v>
      </c>
      <c r="AF18">
        <f>AE18-AF16</f>
        <v>53</v>
      </c>
      <c r="AG18" s="37"/>
    </row>
    <row r="19" spans="2:33" x14ac:dyDescent="0.3">
      <c r="AD19" t="s">
        <v>228</v>
      </c>
      <c r="AE19">
        <v>1050</v>
      </c>
      <c r="AF19">
        <f>AE19/7.45</f>
        <v>140.93959731543623</v>
      </c>
      <c r="AG19" s="37" t="s">
        <v>235</v>
      </c>
    </row>
    <row r="20" spans="2:33" x14ac:dyDescent="0.3">
      <c r="AD20" t="s">
        <v>229</v>
      </c>
      <c r="AE20">
        <v>765</v>
      </c>
      <c r="AF20">
        <f>AE20-AF16</f>
        <v>38</v>
      </c>
      <c r="AG20" s="37" t="s">
        <v>237</v>
      </c>
    </row>
    <row r="21" spans="2:33" x14ac:dyDescent="0.3">
      <c r="C21" s="32"/>
      <c r="D21" s="33"/>
      <c r="E21" s="33"/>
      <c r="AD21" t="s">
        <v>230</v>
      </c>
      <c r="AE21">
        <v>660</v>
      </c>
      <c r="AF21">
        <f>AE21-AH16</f>
        <v>28</v>
      </c>
      <c r="AG21" s="38"/>
    </row>
    <row r="22" spans="2:33" ht="27" x14ac:dyDescent="0.3">
      <c r="B22" s="4"/>
      <c r="C22" s="34">
        <v>46160</v>
      </c>
      <c r="D22" s="34">
        <v>46167</v>
      </c>
      <c r="E22" s="34">
        <v>46174</v>
      </c>
      <c r="F22" s="31" t="s">
        <v>135</v>
      </c>
      <c r="H22" s="9"/>
      <c r="J22" s="9"/>
      <c r="O22" s="6" t="s">
        <v>4</v>
      </c>
      <c r="P22" s="5">
        <v>46160</v>
      </c>
      <c r="Q22" s="5">
        <v>46167</v>
      </c>
      <c r="R22" s="5">
        <v>46174</v>
      </c>
      <c r="S22" s="7" t="s">
        <v>8</v>
      </c>
      <c r="AD22" t="s">
        <v>231</v>
      </c>
      <c r="AE22">
        <v>1130</v>
      </c>
      <c r="AF22">
        <f>AE22/7.45</f>
        <v>151.6778523489933</v>
      </c>
      <c r="AG22" s="37" t="s">
        <v>242</v>
      </c>
    </row>
    <row r="23" spans="2:33" x14ac:dyDescent="0.3">
      <c r="B23" s="4" t="s">
        <v>21</v>
      </c>
      <c r="C23" s="19">
        <v>130</v>
      </c>
      <c r="D23" s="19">
        <v>50</v>
      </c>
      <c r="E23" s="19">
        <v>100</v>
      </c>
      <c r="F23" s="19">
        <v>100</v>
      </c>
      <c r="H23" s="10"/>
      <c r="J23" s="1"/>
      <c r="O23" s="6" t="s">
        <v>1</v>
      </c>
      <c r="P23" s="2">
        <v>950</v>
      </c>
      <c r="Q23" s="2">
        <v>790</v>
      </c>
      <c r="R23" s="2">
        <v>795</v>
      </c>
      <c r="S23" s="3" t="s">
        <v>15</v>
      </c>
      <c r="AD23" t="s">
        <v>238</v>
      </c>
      <c r="AE23">
        <v>800</v>
      </c>
      <c r="AF23">
        <f>AE23-AF16</f>
        <v>73</v>
      </c>
      <c r="AG23" s="37" t="s">
        <v>239</v>
      </c>
    </row>
    <row r="24" spans="2:33" x14ac:dyDescent="0.3">
      <c r="B24" s="4" t="s">
        <v>5</v>
      </c>
      <c r="C24" s="19">
        <v>150</v>
      </c>
      <c r="D24" s="19">
        <v>20</v>
      </c>
      <c r="E24" s="19">
        <v>70</v>
      </c>
      <c r="F24" s="19">
        <v>80</v>
      </c>
      <c r="H24" s="10"/>
      <c r="J24" s="1"/>
      <c r="O24" s="6" t="s">
        <v>0</v>
      </c>
      <c r="P24" s="2">
        <v>875</v>
      </c>
      <c r="Q24" s="2">
        <v>770</v>
      </c>
      <c r="R24" s="2">
        <v>770</v>
      </c>
      <c r="S24" s="3" t="s">
        <v>15</v>
      </c>
      <c r="AD24" t="s">
        <v>240</v>
      </c>
      <c r="AE24" s="15">
        <v>1050</v>
      </c>
      <c r="AF24" s="15">
        <f>AE24/7.45</f>
        <v>140.93959731543623</v>
      </c>
      <c r="AG24" s="39" t="s">
        <v>241</v>
      </c>
    </row>
    <row r="25" spans="2:33" x14ac:dyDescent="0.3">
      <c r="B25" s="4" t="s">
        <v>6</v>
      </c>
      <c r="C25" s="19">
        <v>150</v>
      </c>
      <c r="D25" s="19">
        <v>50</v>
      </c>
      <c r="E25" s="19">
        <v>85</v>
      </c>
      <c r="F25" s="19">
        <v>80</v>
      </c>
      <c r="H25" s="1"/>
      <c r="J25" s="1"/>
      <c r="O25" s="6" t="s">
        <v>2</v>
      </c>
      <c r="P25" s="2">
        <v>1100</v>
      </c>
      <c r="Q25" s="2">
        <v>1010</v>
      </c>
      <c r="R25" s="2">
        <v>1015</v>
      </c>
      <c r="S25" s="3" t="s">
        <v>15</v>
      </c>
      <c r="U25" t="s">
        <v>279</v>
      </c>
    </row>
    <row r="26" spans="2:33" x14ac:dyDescent="0.3">
      <c r="B26" s="4" t="s">
        <v>7</v>
      </c>
      <c r="C26" s="19">
        <v>140</v>
      </c>
      <c r="D26" s="19">
        <v>30</v>
      </c>
      <c r="E26" s="19">
        <v>80</v>
      </c>
      <c r="F26" s="19">
        <v>80</v>
      </c>
      <c r="H26" s="10"/>
      <c r="J26" s="10"/>
      <c r="O26" s="6" t="s">
        <v>3</v>
      </c>
      <c r="P26" s="2">
        <v>850</v>
      </c>
      <c r="Q26" s="50">
        <v>780</v>
      </c>
      <c r="R26" s="50">
        <v>765</v>
      </c>
      <c r="S26" s="3"/>
      <c r="U26" t="s">
        <v>278</v>
      </c>
    </row>
    <row r="27" spans="2:33" x14ac:dyDescent="0.3">
      <c r="O27" s="6"/>
      <c r="P27" s="2"/>
      <c r="Q27" s="2"/>
      <c r="R27" s="2"/>
      <c r="S27" s="2"/>
    </row>
    <row r="28" spans="2:33" x14ac:dyDescent="0.3">
      <c r="B28" s="12" t="s">
        <v>16</v>
      </c>
    </row>
    <row r="29" spans="2:33" ht="21" customHeight="1" x14ac:dyDescent="0.3">
      <c r="B29" s="11" t="s">
        <v>306</v>
      </c>
      <c r="O29" s="14" t="s">
        <v>176</v>
      </c>
      <c r="P29" s="15"/>
      <c r="Q29" s="15"/>
      <c r="R29" s="15"/>
      <c r="S29" s="15"/>
      <c r="T29" s="15"/>
      <c r="U29" s="15"/>
      <c r="V29" s="15"/>
      <c r="W29" s="15"/>
      <c r="X29" s="15"/>
    </row>
    <row r="30" spans="2:33" ht="21" customHeight="1" x14ac:dyDescent="0.3">
      <c r="B30" s="43" t="s">
        <v>307</v>
      </c>
      <c r="O30" s="16" t="s">
        <v>50</v>
      </c>
      <c r="P30" s="15"/>
      <c r="Q30" s="15"/>
      <c r="R30" s="15"/>
      <c r="S30" s="15"/>
      <c r="T30" s="15"/>
      <c r="U30" s="15"/>
      <c r="V30" s="15"/>
      <c r="W30" s="15"/>
      <c r="X30" s="15"/>
      <c r="Y30" s="15"/>
      <c r="Z30" s="15"/>
      <c r="AA30" s="15"/>
      <c r="AB30" s="15"/>
    </row>
    <row r="31" spans="2:33" x14ac:dyDescent="0.3">
      <c r="B31" s="11" t="s">
        <v>309</v>
      </c>
      <c r="O31" s="17" t="s">
        <v>311</v>
      </c>
      <c r="P31" s="15"/>
      <c r="Q31" s="15"/>
      <c r="R31" s="15"/>
      <c r="S31" s="15"/>
      <c r="T31" s="15"/>
      <c r="U31" s="15"/>
      <c r="V31" s="15"/>
      <c r="W31" s="15"/>
      <c r="X31" s="15"/>
      <c r="Y31" s="15"/>
      <c r="Z31" s="15"/>
      <c r="AA31" s="15"/>
      <c r="AB31" s="15"/>
    </row>
    <row r="32" spans="2:33" x14ac:dyDescent="0.3">
      <c r="B32" s="11" t="s">
        <v>310</v>
      </c>
      <c r="O32" s="17" t="s">
        <v>312</v>
      </c>
      <c r="P32" s="15"/>
      <c r="Q32" s="15"/>
      <c r="R32" s="15"/>
      <c r="S32" s="15"/>
      <c r="T32" s="15"/>
      <c r="U32" s="15"/>
      <c r="V32" s="15"/>
      <c r="W32" s="15"/>
      <c r="X32" s="15"/>
      <c r="Y32" s="15"/>
      <c r="Z32" s="15"/>
      <c r="AA32" s="15"/>
      <c r="AB32" s="15"/>
    </row>
    <row r="33" spans="2:28" ht="13.9" customHeight="1" x14ac:dyDescent="0.3">
      <c r="B33" s="11"/>
      <c r="O33" s="17"/>
      <c r="P33" s="15"/>
      <c r="Q33" s="15"/>
      <c r="R33" s="15"/>
      <c r="S33" s="15"/>
      <c r="T33" s="15"/>
      <c r="U33" s="15"/>
      <c r="V33" s="15"/>
      <c r="W33" s="15"/>
      <c r="X33" s="15"/>
      <c r="Y33" s="15"/>
      <c r="Z33" s="15"/>
      <c r="AA33" s="15"/>
      <c r="AB33" s="15"/>
    </row>
    <row r="34" spans="2:28" x14ac:dyDescent="0.3">
      <c r="O34" s="14" t="s">
        <v>40</v>
      </c>
      <c r="P34" s="15"/>
      <c r="Q34" s="15"/>
      <c r="R34" s="15"/>
      <c r="S34" s="15"/>
      <c r="T34" s="15"/>
      <c r="U34" s="15"/>
      <c r="V34" s="15"/>
      <c r="W34" s="15"/>
      <c r="X34" s="15"/>
      <c r="Y34" s="15"/>
      <c r="Z34" s="15"/>
      <c r="AA34" s="15"/>
      <c r="AB34" s="15"/>
    </row>
    <row r="35" spans="2:28" x14ac:dyDescent="0.3">
      <c r="B35" s="12" t="s">
        <v>296</v>
      </c>
      <c r="O35" s="17" t="s">
        <v>288</v>
      </c>
      <c r="P35" s="15"/>
      <c r="Q35" s="15"/>
      <c r="R35" s="15"/>
      <c r="S35" s="15"/>
      <c r="T35" s="15"/>
      <c r="U35" s="15"/>
      <c r="V35" s="15"/>
      <c r="W35" s="15"/>
      <c r="X35" s="15"/>
      <c r="Y35" s="15"/>
      <c r="Z35" s="15"/>
      <c r="AA35" s="15"/>
      <c r="AB35" s="15"/>
    </row>
    <row r="36" spans="2:28" x14ac:dyDescent="0.3">
      <c r="B36" s="11" t="s">
        <v>280</v>
      </c>
      <c r="O36" s="17" t="s">
        <v>289</v>
      </c>
      <c r="P36" s="15"/>
      <c r="Q36" s="15"/>
      <c r="R36" s="15"/>
      <c r="S36" s="15"/>
      <c r="T36" s="15"/>
      <c r="U36" s="15"/>
      <c r="V36" s="15"/>
      <c r="W36" s="15"/>
      <c r="X36" s="15"/>
      <c r="Y36" s="15"/>
      <c r="Z36" s="15"/>
      <c r="AA36" s="15"/>
      <c r="AB36" s="15"/>
    </row>
    <row r="37" spans="2:28" x14ac:dyDescent="0.3">
      <c r="B37" s="11" t="s">
        <v>265</v>
      </c>
      <c r="O37" s="17" t="s">
        <v>290</v>
      </c>
      <c r="P37" s="15"/>
      <c r="Q37" s="15"/>
      <c r="R37" s="15"/>
      <c r="S37" s="15"/>
      <c r="T37" s="15"/>
      <c r="U37" s="15"/>
      <c r="V37" s="15"/>
      <c r="W37" s="15"/>
      <c r="X37" s="15"/>
      <c r="Y37" s="15"/>
      <c r="Z37" s="15"/>
      <c r="AA37" s="15"/>
      <c r="AB37" s="15"/>
    </row>
    <row r="38" spans="2:28" x14ac:dyDescent="0.3">
      <c r="B38" s="11" t="s">
        <v>255</v>
      </c>
      <c r="O38" s="14" t="s">
        <v>44</v>
      </c>
      <c r="P38" s="15"/>
      <c r="Q38" s="15"/>
      <c r="R38" s="15"/>
      <c r="S38" s="15"/>
      <c r="T38" s="15"/>
      <c r="U38" s="15"/>
      <c r="V38" s="15"/>
      <c r="W38" s="15"/>
      <c r="X38" s="15"/>
      <c r="Y38" s="15"/>
      <c r="Z38" s="15"/>
      <c r="AA38" s="15"/>
      <c r="AB38" s="15"/>
    </row>
    <row r="39" spans="2:28" x14ac:dyDescent="0.3">
      <c r="B39" s="11" t="s">
        <v>281</v>
      </c>
      <c r="E39" t="s">
        <v>297</v>
      </c>
      <c r="O39" s="17" t="s">
        <v>313</v>
      </c>
      <c r="P39" s="15"/>
      <c r="Q39" s="15"/>
      <c r="R39" s="15"/>
      <c r="S39" s="15"/>
      <c r="T39" s="15"/>
      <c r="U39" s="15"/>
      <c r="V39" s="15"/>
      <c r="W39" s="15"/>
      <c r="X39" s="15"/>
      <c r="Y39" s="15"/>
      <c r="Z39" s="15"/>
      <c r="AA39" s="15"/>
      <c r="AB39" s="15"/>
    </row>
    <row r="40" spans="2:28" ht="18" customHeight="1" x14ac:dyDescent="0.3">
      <c r="B40" s="11" t="s">
        <v>266</v>
      </c>
      <c r="O40" s="17" t="s">
        <v>316</v>
      </c>
      <c r="P40" s="15"/>
      <c r="Q40" s="15"/>
      <c r="R40" s="15"/>
      <c r="S40" s="15"/>
      <c r="T40" s="15"/>
      <c r="U40" s="15"/>
      <c r="V40" s="15"/>
      <c r="W40" s="15"/>
      <c r="X40" s="15"/>
      <c r="Y40" s="15"/>
      <c r="Z40" s="15"/>
      <c r="AA40" s="15"/>
      <c r="AB40" s="15"/>
    </row>
    <row r="41" spans="2:28" ht="12.6" customHeight="1" x14ac:dyDescent="0.3">
      <c r="B41" s="29"/>
      <c r="O41" s="17"/>
      <c r="P41" s="15"/>
      <c r="Q41" s="15"/>
      <c r="R41" s="15"/>
      <c r="S41" s="15"/>
      <c r="T41" s="15"/>
      <c r="U41" s="15"/>
      <c r="V41" s="15"/>
      <c r="W41" s="15"/>
      <c r="X41" s="15"/>
      <c r="Y41" s="15"/>
      <c r="Z41" s="15"/>
      <c r="AA41" s="15"/>
      <c r="AB41" s="15"/>
    </row>
    <row r="42" spans="2:28" x14ac:dyDescent="0.3">
      <c r="O42" s="14" t="s">
        <v>47</v>
      </c>
      <c r="P42" s="15"/>
      <c r="Q42" s="15"/>
      <c r="R42" s="15"/>
      <c r="S42" s="15"/>
      <c r="T42" s="15"/>
      <c r="U42" s="15"/>
      <c r="V42" s="15"/>
      <c r="W42" s="15"/>
      <c r="X42" s="15"/>
      <c r="Y42" s="15"/>
      <c r="Z42" s="15"/>
      <c r="AA42" s="15"/>
      <c r="AB42" s="15"/>
    </row>
    <row r="43" spans="2:28" x14ac:dyDescent="0.3">
      <c r="B43" s="12" t="s">
        <v>17</v>
      </c>
      <c r="C43" s="12"/>
      <c r="D43" s="12"/>
      <c r="E43" s="12"/>
      <c r="F43" s="12"/>
      <c r="G43" s="12"/>
      <c r="H43" s="12"/>
      <c r="I43" s="12"/>
      <c r="J43" s="12"/>
      <c r="K43" s="12"/>
      <c r="L43" s="12"/>
      <c r="M43" s="12"/>
      <c r="N43" s="12"/>
      <c r="O43" s="17" t="s">
        <v>314</v>
      </c>
      <c r="P43" s="15"/>
      <c r="Q43" s="15"/>
      <c r="R43" s="15"/>
      <c r="S43" s="15"/>
      <c r="T43" s="15"/>
      <c r="U43" s="15"/>
      <c r="V43" s="15"/>
      <c r="W43" s="15"/>
      <c r="X43" s="15"/>
      <c r="Y43" s="15"/>
      <c r="Z43" s="15"/>
      <c r="AA43" s="15"/>
      <c r="AB43" s="15"/>
    </row>
    <row r="44" spans="2:28" x14ac:dyDescent="0.3">
      <c r="B44" s="11" t="s">
        <v>298</v>
      </c>
      <c r="O44" s="17" t="s">
        <v>315</v>
      </c>
      <c r="P44" s="15"/>
      <c r="Q44" s="15"/>
      <c r="R44" s="15"/>
      <c r="S44" s="15"/>
      <c r="T44" s="15"/>
      <c r="U44" s="15"/>
      <c r="V44" s="15"/>
      <c r="W44" s="15"/>
      <c r="X44" s="15"/>
      <c r="Y44" s="15"/>
      <c r="Z44" s="15"/>
      <c r="AA44" s="15"/>
      <c r="AB44" s="15"/>
    </row>
    <row r="45" spans="2:28" x14ac:dyDescent="0.3">
      <c r="B45" s="11" t="s">
        <v>299</v>
      </c>
      <c r="P45" s="15"/>
      <c r="Q45" s="15"/>
      <c r="R45" s="15"/>
      <c r="S45" s="15"/>
      <c r="T45" s="15"/>
      <c r="U45" s="15"/>
      <c r="V45" s="15"/>
      <c r="W45" s="15"/>
      <c r="X45" s="15"/>
      <c r="Y45" s="15"/>
      <c r="Z45" s="15"/>
      <c r="AA45" s="15"/>
      <c r="AB45" s="15"/>
    </row>
    <row r="46" spans="2:28" x14ac:dyDescent="0.3">
      <c r="B46" s="11" t="s">
        <v>300</v>
      </c>
      <c r="O46" s="17"/>
      <c r="P46" s="15"/>
      <c r="Q46" s="15"/>
      <c r="R46" s="15"/>
      <c r="S46" s="15"/>
      <c r="T46" s="15"/>
      <c r="U46" s="15"/>
      <c r="V46" s="15"/>
      <c r="W46" s="15"/>
      <c r="X46" s="15"/>
      <c r="Y46" s="15"/>
      <c r="Z46" s="15"/>
      <c r="AA46" s="15"/>
      <c r="AB46" s="15"/>
    </row>
    <row r="47" spans="2:28" x14ac:dyDescent="0.3">
      <c r="O47" s="17"/>
      <c r="P47" s="15"/>
      <c r="Q47" s="15"/>
      <c r="R47" s="15"/>
      <c r="S47" s="15"/>
      <c r="T47" s="15"/>
      <c r="U47" s="15"/>
      <c r="V47" s="15"/>
      <c r="W47" s="15"/>
      <c r="X47" s="15"/>
      <c r="Y47" s="15"/>
      <c r="Z47" s="15"/>
      <c r="AA47" s="15"/>
      <c r="AB47" s="15"/>
    </row>
    <row r="48" spans="2:28" x14ac:dyDescent="0.3">
      <c r="B48" s="1" t="s">
        <v>98</v>
      </c>
      <c r="P48" s="15"/>
      <c r="Q48" s="15"/>
      <c r="R48" s="15"/>
      <c r="S48" s="15"/>
      <c r="T48" s="15"/>
      <c r="U48" s="15"/>
      <c r="V48" s="15"/>
      <c r="W48" s="15"/>
      <c r="X48" s="15"/>
      <c r="Y48" s="15"/>
      <c r="Z48" s="15"/>
      <c r="AA48" s="15"/>
      <c r="AB48" s="15"/>
    </row>
    <row r="49" spans="2:29" x14ac:dyDescent="0.3">
      <c r="B49" s="11"/>
      <c r="N49" s="28"/>
      <c r="O49" s="26"/>
      <c r="P49" s="26"/>
      <c r="Q49" s="26"/>
      <c r="R49" s="26"/>
      <c r="S49" s="26"/>
      <c r="T49" s="26"/>
      <c r="U49" s="26"/>
      <c r="V49" s="26"/>
      <c r="W49" s="26"/>
      <c r="X49" s="26"/>
      <c r="Y49" s="26"/>
      <c r="Z49" s="26"/>
      <c r="AA49" s="26"/>
      <c r="AB49" s="26"/>
      <c r="AC49" s="28"/>
    </row>
    <row r="50" spans="2:29" x14ac:dyDescent="0.3">
      <c r="B50" s="11"/>
      <c r="N50" s="28"/>
      <c r="O50" s="14"/>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N54" s="28"/>
      <c r="O54" s="15"/>
      <c r="P54" s="26"/>
      <c r="Q54" s="26"/>
      <c r="R54" s="26"/>
      <c r="S54" s="26"/>
      <c r="T54" s="26"/>
      <c r="U54" s="26"/>
      <c r="V54" s="26"/>
      <c r="W54" s="26"/>
      <c r="X54" s="26"/>
      <c r="Y54" s="26"/>
      <c r="Z54" s="26"/>
      <c r="AA54" s="26"/>
      <c r="AB54" s="26"/>
      <c r="AC54" s="28"/>
    </row>
    <row r="55" spans="2:29" x14ac:dyDescent="0.3">
      <c r="B55" s="11"/>
      <c r="M55" s="30"/>
      <c r="N55" s="28"/>
      <c r="O55" s="27"/>
      <c r="P55" s="26"/>
      <c r="Q55" s="26"/>
      <c r="R55" s="26"/>
      <c r="S55" s="26"/>
      <c r="T55" s="26"/>
      <c r="U55" s="26"/>
      <c r="V55" s="26"/>
      <c r="W55" s="26"/>
      <c r="X55" s="26"/>
      <c r="Y55" s="26"/>
      <c r="Z55" s="26"/>
      <c r="AA55" s="26"/>
      <c r="AB55" s="26"/>
      <c r="AC55" s="28"/>
    </row>
    <row r="56" spans="2:29" x14ac:dyDescent="0.3">
      <c r="O56" s="27"/>
      <c r="P56" s="26"/>
      <c r="Q56" s="26"/>
      <c r="R56" s="26"/>
      <c r="S56" s="26"/>
      <c r="T56" s="26"/>
      <c r="U56" s="26"/>
      <c r="V56" s="26"/>
      <c r="W56" s="26"/>
      <c r="X56" s="26"/>
      <c r="Y56" s="26"/>
      <c r="Z56" s="26"/>
      <c r="AA56" s="26"/>
      <c r="AB56" s="26"/>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35"/>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N60" s="28"/>
      <c r="O60" s="29"/>
      <c r="P60" s="28"/>
      <c r="Q60" s="28"/>
      <c r="R60" s="28"/>
      <c r="S60" s="28"/>
      <c r="T60" s="28"/>
      <c r="U60" s="28"/>
      <c r="V60" s="28"/>
      <c r="W60" s="28"/>
      <c r="X60" s="28"/>
      <c r="Y60" s="28"/>
      <c r="Z60" s="28"/>
      <c r="AA60" s="28"/>
      <c r="AB60" s="28"/>
      <c r="AC60" s="28"/>
    </row>
    <row r="61" spans="2:29" x14ac:dyDescent="0.3">
      <c r="O61" s="11"/>
    </row>
    <row r="63" spans="2:29" x14ac:dyDescent="0.3">
      <c r="O63" s="11"/>
    </row>
    <row r="64" spans="2:29" x14ac:dyDescent="0.3">
      <c r="O64" s="11"/>
    </row>
    <row r="67" spans="2:15" x14ac:dyDescent="0.3">
      <c r="O67" s="8"/>
    </row>
    <row r="75" spans="2:15" x14ac:dyDescent="0.3">
      <c r="B75" s="1"/>
    </row>
    <row r="76" spans="2:15" x14ac:dyDescent="0.3">
      <c r="B76" s="65"/>
      <c r="C76" s="65"/>
      <c r="D76" s="65"/>
      <c r="E76" s="65"/>
      <c r="F76" s="65"/>
      <c r="G76" s="65"/>
      <c r="H76" s="65"/>
      <c r="I76" s="65"/>
      <c r="J76" s="65"/>
      <c r="K76" s="65"/>
      <c r="L76" s="65"/>
      <c r="N76" s="8"/>
    </row>
    <row r="77" spans="2:15" x14ac:dyDescent="0.3">
      <c r="C77" s="23"/>
    </row>
    <row r="78" spans="2:15" x14ac:dyDescent="0.3">
      <c r="C78" s="23"/>
    </row>
    <row r="79" spans="2:15" x14ac:dyDescent="0.3">
      <c r="C79" s="23"/>
    </row>
    <row r="80" spans="2:15" x14ac:dyDescent="0.3">
      <c r="C80" s="23"/>
    </row>
    <row r="81" spans="3:3" x14ac:dyDescent="0.3">
      <c r="C81" s="23"/>
    </row>
  </sheetData>
  <mergeCells count="1">
    <mergeCell ref="B76:L76"/>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501C7-552E-49C3-BD21-A73DF3E73375}">
  <dimension ref="B3:AG81"/>
  <sheetViews>
    <sheetView showGridLines="0" topLeftCell="A7" zoomScale="85" zoomScaleNormal="85" workbookViewId="0">
      <selection activeCell="K14" sqref="K14"/>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 min="25" max="25" width="13.125" customWidth="1"/>
  </cols>
  <sheetData>
    <row r="3" spans="2:33" x14ac:dyDescent="0.3">
      <c r="B3" s="1" t="s">
        <v>80</v>
      </c>
      <c r="O3" s="1" t="s">
        <v>97</v>
      </c>
    </row>
    <row r="15" spans="2:33" x14ac:dyDescent="0.3">
      <c r="AE15" t="s">
        <v>232</v>
      </c>
      <c r="AF15" t="s">
        <v>233</v>
      </c>
      <c r="AG15" t="s">
        <v>234</v>
      </c>
    </row>
    <row r="16" spans="2:33" x14ac:dyDescent="0.3">
      <c r="AF16">
        <v>717</v>
      </c>
      <c r="AG16">
        <v>162.15</v>
      </c>
    </row>
    <row r="17" spans="2:33" x14ac:dyDescent="0.3">
      <c r="AD17">
        <v>670</v>
      </c>
    </row>
    <row r="18" spans="2:33" x14ac:dyDescent="0.3">
      <c r="AD18" t="s">
        <v>227</v>
      </c>
      <c r="AE18">
        <v>770</v>
      </c>
      <c r="AF18">
        <f>AE18-AF16</f>
        <v>53</v>
      </c>
      <c r="AG18" s="37"/>
    </row>
    <row r="19" spans="2:33" x14ac:dyDescent="0.3">
      <c r="AD19" t="s">
        <v>228</v>
      </c>
      <c r="AE19">
        <v>1270</v>
      </c>
      <c r="AF19">
        <f>AE19/7.45</f>
        <v>170.46979865771812</v>
      </c>
      <c r="AG19" s="37" t="s">
        <v>235</v>
      </c>
    </row>
    <row r="20" spans="2:33" x14ac:dyDescent="0.3">
      <c r="AD20" t="s">
        <v>229</v>
      </c>
      <c r="AE20">
        <v>760</v>
      </c>
      <c r="AF20">
        <f>AE20-AF16</f>
        <v>43</v>
      </c>
      <c r="AG20" s="37" t="s">
        <v>237</v>
      </c>
    </row>
    <row r="21" spans="2:33" x14ac:dyDescent="0.3">
      <c r="C21" s="32"/>
      <c r="D21" s="33"/>
      <c r="E21" s="33"/>
      <c r="AD21" t="s">
        <v>230</v>
      </c>
      <c r="AE21">
        <v>680</v>
      </c>
      <c r="AG21" s="38"/>
    </row>
    <row r="22" spans="2:33" ht="27" x14ac:dyDescent="0.3">
      <c r="B22" s="4"/>
      <c r="C22" s="34">
        <v>46153</v>
      </c>
      <c r="D22" s="34">
        <v>46160</v>
      </c>
      <c r="E22" s="34">
        <v>46167</v>
      </c>
      <c r="F22" s="31" t="s">
        <v>135</v>
      </c>
      <c r="H22" s="9"/>
      <c r="J22" s="9"/>
      <c r="O22" s="6" t="s">
        <v>4</v>
      </c>
      <c r="P22" s="5">
        <v>46153</v>
      </c>
      <c r="Q22" s="5">
        <v>46160</v>
      </c>
      <c r="R22" s="5">
        <v>46167</v>
      </c>
      <c r="S22" s="7" t="s">
        <v>8</v>
      </c>
      <c r="AD22" t="s">
        <v>231</v>
      </c>
      <c r="AE22">
        <v>1400</v>
      </c>
      <c r="AF22">
        <f>AE22/7.45</f>
        <v>187.91946308724832</v>
      </c>
      <c r="AG22" s="37" t="s">
        <v>242</v>
      </c>
    </row>
    <row r="23" spans="2:33" x14ac:dyDescent="0.3">
      <c r="B23" s="4" t="s">
        <v>21</v>
      </c>
      <c r="C23" s="19">
        <v>270</v>
      </c>
      <c r="D23" s="19">
        <v>130</v>
      </c>
      <c r="E23" s="19">
        <v>50</v>
      </c>
      <c r="F23" s="19">
        <v>50</v>
      </c>
      <c r="H23" s="10"/>
      <c r="J23" s="1"/>
      <c r="O23" s="6" t="s">
        <v>1</v>
      </c>
      <c r="P23" s="2">
        <v>970</v>
      </c>
      <c r="Q23" s="2">
        <v>950</v>
      </c>
      <c r="R23" s="2">
        <v>790</v>
      </c>
      <c r="S23" s="3" t="s">
        <v>15</v>
      </c>
      <c r="AD23" t="s">
        <v>238</v>
      </c>
      <c r="AE23">
        <v>790</v>
      </c>
      <c r="AF23">
        <f>AE23-AF16</f>
        <v>73</v>
      </c>
      <c r="AG23" s="37" t="s">
        <v>239</v>
      </c>
    </row>
    <row r="24" spans="2:33" x14ac:dyDescent="0.3">
      <c r="B24" s="4" t="s">
        <v>5</v>
      </c>
      <c r="C24" s="19">
        <v>230</v>
      </c>
      <c r="D24" s="19">
        <v>150</v>
      </c>
      <c r="E24" s="19">
        <v>20</v>
      </c>
      <c r="F24" s="19">
        <v>20</v>
      </c>
      <c r="H24" s="10"/>
      <c r="J24" s="1"/>
      <c r="O24" s="45" t="s">
        <v>0</v>
      </c>
      <c r="P24" s="46">
        <v>796</v>
      </c>
      <c r="Q24" s="46">
        <v>875</v>
      </c>
      <c r="R24" s="46">
        <v>770</v>
      </c>
      <c r="S24" s="47" t="s">
        <v>15</v>
      </c>
      <c r="AD24" t="s">
        <v>240</v>
      </c>
      <c r="AE24" s="15">
        <v>1360</v>
      </c>
      <c r="AF24" s="15">
        <f>AE24/7.45</f>
        <v>182.5503355704698</v>
      </c>
      <c r="AG24" s="39" t="s">
        <v>241</v>
      </c>
    </row>
    <row r="25" spans="2:33" x14ac:dyDescent="0.3">
      <c r="B25" s="4" t="s">
        <v>6</v>
      </c>
      <c r="C25" s="19"/>
      <c r="D25" s="19">
        <v>150</v>
      </c>
      <c r="E25" s="19">
        <v>50</v>
      </c>
      <c r="F25" s="19">
        <v>50</v>
      </c>
      <c r="H25" s="1"/>
      <c r="J25" s="1"/>
      <c r="O25" s="6" t="s">
        <v>2</v>
      </c>
      <c r="P25" s="2">
        <v>1150</v>
      </c>
      <c r="Q25" s="2">
        <v>1100</v>
      </c>
      <c r="R25" s="2">
        <v>1010</v>
      </c>
      <c r="S25" s="3" t="s">
        <v>15</v>
      </c>
      <c r="U25" t="s">
        <v>279</v>
      </c>
    </row>
    <row r="26" spans="2:33" x14ac:dyDescent="0.3">
      <c r="B26" s="4" t="s">
        <v>7</v>
      </c>
      <c r="C26" s="19">
        <v>200</v>
      </c>
      <c r="D26" s="19">
        <v>140</v>
      </c>
      <c r="E26" s="19">
        <v>30</v>
      </c>
      <c r="F26" s="19">
        <v>30</v>
      </c>
      <c r="H26" s="10"/>
      <c r="J26" s="10"/>
      <c r="O26" s="6" t="s">
        <v>3</v>
      </c>
      <c r="P26" s="2">
        <v>780</v>
      </c>
      <c r="Q26" s="2">
        <v>850</v>
      </c>
      <c r="R26" s="2">
        <v>760</v>
      </c>
      <c r="S26" s="3"/>
      <c r="U26" t="s">
        <v>278</v>
      </c>
    </row>
    <row r="27" spans="2:33" x14ac:dyDescent="0.3">
      <c r="O27" s="6"/>
      <c r="P27" s="2"/>
      <c r="Q27" s="2"/>
      <c r="R27" s="2"/>
      <c r="S27" s="2"/>
    </row>
    <row r="28" spans="2:33" x14ac:dyDescent="0.3">
      <c r="B28" s="12" t="s">
        <v>16</v>
      </c>
    </row>
    <row r="29" spans="2:33" ht="21" customHeight="1" x14ac:dyDescent="0.3">
      <c r="B29" s="11" t="s">
        <v>293</v>
      </c>
      <c r="O29" s="14" t="s">
        <v>176</v>
      </c>
      <c r="P29" s="15"/>
      <c r="Q29" s="15"/>
      <c r="R29" s="15"/>
      <c r="S29" s="15"/>
      <c r="T29" s="15"/>
      <c r="U29" s="15"/>
      <c r="V29" s="15"/>
      <c r="W29" s="15"/>
      <c r="X29" s="15"/>
    </row>
    <row r="30" spans="2:33" ht="21" customHeight="1" x14ac:dyDescent="0.3">
      <c r="B30" s="43" t="s">
        <v>292</v>
      </c>
      <c r="O30" s="16" t="s">
        <v>50</v>
      </c>
      <c r="P30" s="15"/>
      <c r="Q30" s="15"/>
      <c r="R30" s="15"/>
      <c r="S30" s="15"/>
      <c r="T30" s="15"/>
      <c r="U30" s="15"/>
      <c r="V30" s="15"/>
      <c r="W30" s="15"/>
      <c r="X30" s="15"/>
      <c r="Y30" s="15"/>
      <c r="Z30" s="15"/>
      <c r="AA30" s="15"/>
      <c r="AB30" s="15"/>
    </row>
    <row r="31" spans="2:33" x14ac:dyDescent="0.3">
      <c r="B31" s="11" t="s">
        <v>294</v>
      </c>
      <c r="O31" s="17" t="s">
        <v>285</v>
      </c>
      <c r="P31" s="15"/>
      <c r="Q31" s="15"/>
      <c r="R31" s="15"/>
      <c r="S31" s="15"/>
      <c r="T31" s="15"/>
      <c r="U31" s="15"/>
      <c r="V31" s="15"/>
      <c r="W31" s="15"/>
      <c r="X31" s="15"/>
      <c r="Y31" s="15"/>
      <c r="Z31" s="15"/>
      <c r="AA31" s="15"/>
      <c r="AB31" s="15"/>
    </row>
    <row r="32" spans="2:33" x14ac:dyDescent="0.3">
      <c r="B32" s="11" t="s">
        <v>295</v>
      </c>
      <c r="O32" s="17" t="s">
        <v>286</v>
      </c>
      <c r="P32" s="15"/>
      <c r="Q32" s="15"/>
      <c r="R32" s="15"/>
      <c r="S32" s="15"/>
      <c r="T32" s="15"/>
      <c r="U32" s="15"/>
      <c r="V32" s="15"/>
      <c r="W32" s="15"/>
      <c r="X32" s="15"/>
      <c r="Y32" s="15"/>
      <c r="Z32" s="15"/>
      <c r="AA32" s="15"/>
      <c r="AB32" s="15"/>
    </row>
    <row r="33" spans="2:28" ht="13.9" customHeight="1" x14ac:dyDescent="0.3">
      <c r="B33" s="11"/>
      <c r="O33" s="17" t="s">
        <v>287</v>
      </c>
      <c r="P33" s="15"/>
      <c r="Q33" s="15"/>
      <c r="R33" s="15"/>
      <c r="S33" s="15"/>
      <c r="T33" s="15"/>
      <c r="U33" s="15"/>
      <c r="V33" s="15"/>
      <c r="W33" s="15"/>
      <c r="X33" s="15"/>
      <c r="Y33" s="15"/>
      <c r="Z33" s="15"/>
      <c r="AA33" s="15"/>
      <c r="AB33" s="15"/>
    </row>
    <row r="34" spans="2:28" x14ac:dyDescent="0.3">
      <c r="O34" s="14" t="s">
        <v>40</v>
      </c>
      <c r="P34" s="15"/>
      <c r="Q34" s="15"/>
      <c r="R34" s="15"/>
      <c r="S34" s="15"/>
      <c r="T34" s="15"/>
      <c r="U34" s="15"/>
      <c r="V34" s="15"/>
      <c r="W34" s="15"/>
      <c r="X34" s="15"/>
      <c r="Y34" s="15"/>
      <c r="Z34" s="15"/>
      <c r="AA34" s="15"/>
      <c r="AB34" s="15"/>
    </row>
    <row r="35" spans="2:28" x14ac:dyDescent="0.3">
      <c r="B35" s="12" t="s">
        <v>296</v>
      </c>
      <c r="O35" s="17" t="s">
        <v>288</v>
      </c>
      <c r="P35" s="15"/>
      <c r="Q35" s="15"/>
      <c r="R35" s="15"/>
      <c r="S35" s="15"/>
      <c r="T35" s="15"/>
      <c r="U35" s="15"/>
      <c r="V35" s="15"/>
      <c r="W35" s="15"/>
      <c r="X35" s="15"/>
      <c r="Y35" s="15"/>
      <c r="Z35" s="15"/>
      <c r="AA35" s="15"/>
      <c r="AB35" s="15"/>
    </row>
    <row r="36" spans="2:28" x14ac:dyDescent="0.3">
      <c r="B36" s="20" t="s">
        <v>280</v>
      </c>
      <c r="C36" s="21"/>
      <c r="O36" s="17" t="s">
        <v>289</v>
      </c>
      <c r="P36" s="15"/>
      <c r="Q36" s="15"/>
      <c r="R36" s="15"/>
      <c r="S36" s="15"/>
      <c r="T36" s="15"/>
      <c r="U36" s="15"/>
      <c r="V36" s="15"/>
      <c r="W36" s="15"/>
      <c r="X36" s="15"/>
      <c r="Y36" s="15"/>
      <c r="Z36" s="15"/>
      <c r="AA36" s="15"/>
      <c r="AB36" s="15"/>
    </row>
    <row r="37" spans="2:28" x14ac:dyDescent="0.3">
      <c r="B37" s="20" t="s">
        <v>265</v>
      </c>
      <c r="C37" s="21"/>
      <c r="O37" s="17" t="s">
        <v>290</v>
      </c>
      <c r="P37" s="15"/>
      <c r="Q37" s="15"/>
      <c r="R37" s="15"/>
      <c r="S37" s="15"/>
      <c r="T37" s="15"/>
      <c r="U37" s="15"/>
      <c r="V37" s="15"/>
      <c r="W37" s="15"/>
      <c r="X37" s="15"/>
      <c r="Y37" s="15"/>
      <c r="Z37" s="15"/>
      <c r="AA37" s="15"/>
      <c r="AB37" s="15"/>
    </row>
    <row r="38" spans="2:28" x14ac:dyDescent="0.3">
      <c r="B38" s="20" t="s">
        <v>255</v>
      </c>
      <c r="C38" s="21"/>
      <c r="O38" s="48" t="s">
        <v>44</v>
      </c>
      <c r="P38" s="15"/>
      <c r="Q38" s="15"/>
      <c r="R38" s="15"/>
      <c r="S38" s="15"/>
      <c r="T38" s="15"/>
      <c r="U38" s="15"/>
      <c r="V38" s="15"/>
      <c r="W38" s="15"/>
      <c r="X38" s="15"/>
      <c r="Y38" s="15"/>
      <c r="Z38" s="15"/>
      <c r="AA38" s="15"/>
      <c r="AB38" s="15"/>
    </row>
    <row r="39" spans="2:28" x14ac:dyDescent="0.3">
      <c r="B39" s="20" t="s">
        <v>281</v>
      </c>
      <c r="C39" s="21"/>
      <c r="E39" t="s">
        <v>297</v>
      </c>
      <c r="O39" s="49" t="s">
        <v>274</v>
      </c>
      <c r="P39" s="15"/>
      <c r="Q39" s="15"/>
      <c r="R39" s="15"/>
      <c r="S39" s="15"/>
      <c r="T39" s="15"/>
      <c r="U39" s="15"/>
      <c r="V39" s="15"/>
      <c r="W39" s="15"/>
      <c r="X39" s="15"/>
      <c r="Y39" s="15"/>
      <c r="Z39" s="15"/>
      <c r="AA39" s="15"/>
      <c r="AB39" s="15"/>
    </row>
    <row r="40" spans="2:28" ht="18" customHeight="1" x14ac:dyDescent="0.3">
      <c r="B40" s="40" t="s">
        <v>266</v>
      </c>
      <c r="C40" s="41"/>
      <c r="O40" s="49" t="s">
        <v>275</v>
      </c>
      <c r="P40" s="15"/>
      <c r="Q40" s="15"/>
      <c r="R40" s="15"/>
      <c r="S40" s="15"/>
      <c r="T40" s="15"/>
      <c r="U40" s="15"/>
      <c r="V40" s="15"/>
      <c r="W40" s="15"/>
      <c r="X40" s="15"/>
      <c r="Y40" s="15"/>
      <c r="Z40" s="15"/>
      <c r="AA40" s="15"/>
      <c r="AB40" s="15"/>
    </row>
    <row r="41" spans="2:28" ht="12.6" customHeight="1" x14ac:dyDescent="0.3">
      <c r="B41" s="42"/>
      <c r="C41" s="41"/>
      <c r="O41" s="49"/>
      <c r="P41" s="15"/>
      <c r="Q41" s="15"/>
      <c r="R41" s="15"/>
      <c r="S41" s="15"/>
      <c r="T41" s="15"/>
      <c r="U41" s="15"/>
      <c r="V41" s="15"/>
      <c r="W41" s="15"/>
      <c r="X41" s="15"/>
      <c r="Y41" s="15"/>
      <c r="Z41" s="15"/>
      <c r="AA41" s="15"/>
      <c r="AB41" s="15"/>
    </row>
    <row r="42" spans="2:28" x14ac:dyDescent="0.3">
      <c r="O42" s="48" t="s">
        <v>47</v>
      </c>
      <c r="P42" s="15"/>
      <c r="Q42" s="15"/>
      <c r="R42" s="15"/>
      <c r="S42" s="15"/>
      <c r="T42" s="15"/>
      <c r="U42" s="15"/>
      <c r="V42" s="15"/>
      <c r="W42" s="15"/>
      <c r="X42" s="15"/>
      <c r="Y42" s="15"/>
      <c r="Z42" s="15"/>
      <c r="AA42" s="15"/>
      <c r="AB42" s="15"/>
    </row>
    <row r="43" spans="2:28" x14ac:dyDescent="0.3">
      <c r="B43" s="12" t="s">
        <v>17</v>
      </c>
      <c r="C43" s="12"/>
      <c r="D43" s="12"/>
      <c r="E43" s="12"/>
      <c r="F43" s="12"/>
      <c r="G43" s="12"/>
      <c r="H43" s="12"/>
      <c r="I43" s="12"/>
      <c r="J43" s="12"/>
      <c r="K43" s="12"/>
      <c r="L43" s="12"/>
      <c r="M43" s="12"/>
      <c r="N43" s="12"/>
      <c r="O43" s="49" t="s">
        <v>291</v>
      </c>
      <c r="P43" s="15"/>
      <c r="Q43" s="15"/>
      <c r="R43" s="15"/>
      <c r="S43" s="15"/>
      <c r="T43" s="15"/>
      <c r="U43" s="15"/>
      <c r="V43" s="15"/>
      <c r="W43" s="15"/>
      <c r="X43" s="15"/>
      <c r="Y43" s="15"/>
      <c r="Z43" s="15"/>
      <c r="AA43" s="15"/>
      <c r="AB43" s="15"/>
    </row>
    <row r="44" spans="2:28" x14ac:dyDescent="0.3">
      <c r="B44" s="20" t="s">
        <v>282</v>
      </c>
      <c r="C44" s="21"/>
      <c r="D44" s="21"/>
      <c r="E44" s="21"/>
      <c r="F44" s="21"/>
      <c r="G44" s="21"/>
      <c r="H44" s="21"/>
      <c r="I44" s="21"/>
      <c r="J44" s="21"/>
      <c r="K44" s="21"/>
      <c r="L44" s="21"/>
      <c r="M44" s="21"/>
      <c r="N44" s="21"/>
      <c r="O44" s="49" t="s">
        <v>276</v>
      </c>
      <c r="P44" s="15"/>
      <c r="Q44" s="15"/>
      <c r="R44" s="15"/>
      <c r="S44" s="15"/>
      <c r="T44" s="15"/>
      <c r="U44" s="15"/>
      <c r="V44" s="15"/>
      <c r="W44" s="15"/>
      <c r="X44" s="15"/>
      <c r="Y44" s="15"/>
      <c r="Z44" s="15"/>
      <c r="AA44" s="15"/>
      <c r="AB44" s="15"/>
    </row>
    <row r="45" spans="2:28" x14ac:dyDescent="0.3">
      <c r="B45" s="20" t="s">
        <v>283</v>
      </c>
      <c r="C45" s="21"/>
      <c r="D45" s="21"/>
      <c r="E45" s="21"/>
      <c r="F45" s="21"/>
      <c r="G45" s="21"/>
      <c r="H45" s="21"/>
      <c r="I45" s="21"/>
      <c r="J45" s="21"/>
      <c r="K45" s="21"/>
      <c r="L45" s="21"/>
      <c r="M45" s="21"/>
      <c r="N45" s="21"/>
      <c r="P45" s="15"/>
      <c r="Q45" s="15"/>
      <c r="R45" s="15"/>
      <c r="S45" s="15"/>
      <c r="T45" s="15"/>
      <c r="U45" s="15"/>
      <c r="V45" s="15"/>
      <c r="W45" s="15"/>
      <c r="X45" s="15"/>
      <c r="Y45" s="15"/>
      <c r="Z45" s="15"/>
      <c r="AA45" s="15"/>
      <c r="AB45" s="15"/>
    </row>
    <row r="46" spans="2:28" x14ac:dyDescent="0.3">
      <c r="B46" s="20" t="s">
        <v>284</v>
      </c>
      <c r="C46" s="41"/>
      <c r="D46" s="41"/>
      <c r="E46" s="41"/>
      <c r="F46" s="41"/>
      <c r="G46" s="41"/>
      <c r="H46" s="41"/>
      <c r="I46" s="41"/>
      <c r="J46" s="41"/>
      <c r="K46" s="41"/>
      <c r="L46" s="41"/>
      <c r="M46" s="41"/>
      <c r="N46" s="41"/>
      <c r="O46" s="17"/>
      <c r="P46" s="15"/>
      <c r="Q46" s="15"/>
      <c r="R46" s="15"/>
      <c r="S46" s="15"/>
      <c r="T46" s="15"/>
      <c r="U46" s="15"/>
      <c r="V46" s="15"/>
      <c r="W46" s="15"/>
      <c r="X46" s="15"/>
      <c r="Y46" s="15"/>
      <c r="Z46" s="15"/>
      <c r="AA46" s="15"/>
      <c r="AB46" s="15"/>
    </row>
    <row r="47" spans="2:28" x14ac:dyDescent="0.3">
      <c r="O47" s="17"/>
      <c r="P47" s="15"/>
      <c r="Q47" s="15"/>
      <c r="R47" s="15"/>
      <c r="S47" s="15"/>
      <c r="T47" s="15"/>
      <c r="U47" s="15"/>
      <c r="V47" s="15"/>
      <c r="W47" s="15"/>
      <c r="X47" s="15"/>
      <c r="Y47" s="15"/>
      <c r="Z47" s="15"/>
      <c r="AA47" s="15"/>
      <c r="AB47" s="15"/>
    </row>
    <row r="48" spans="2:28" x14ac:dyDescent="0.3">
      <c r="B48" s="1" t="s">
        <v>98</v>
      </c>
      <c r="P48" s="15"/>
      <c r="Q48" s="15"/>
      <c r="R48" s="15"/>
      <c r="S48" s="15"/>
      <c r="T48" s="15"/>
      <c r="U48" s="15"/>
      <c r="V48" s="15"/>
      <c r="W48" s="15"/>
      <c r="X48" s="15"/>
      <c r="Y48" s="15"/>
      <c r="Z48" s="15"/>
      <c r="AA48" s="15"/>
      <c r="AB48" s="15"/>
    </row>
    <row r="49" spans="2:29" x14ac:dyDescent="0.3">
      <c r="B49" s="11"/>
      <c r="N49" s="28"/>
      <c r="O49" s="26"/>
      <c r="P49" s="26"/>
      <c r="Q49" s="26"/>
      <c r="R49" s="26"/>
      <c r="S49" s="26"/>
      <c r="T49" s="26"/>
      <c r="U49" s="26"/>
      <c r="V49" s="26"/>
      <c r="W49" s="26"/>
      <c r="X49" s="26"/>
      <c r="Y49" s="26"/>
      <c r="Z49" s="26"/>
      <c r="AA49" s="26"/>
      <c r="AB49" s="26"/>
      <c r="AC49" s="28"/>
    </row>
    <row r="50" spans="2:29" x14ac:dyDescent="0.3">
      <c r="B50" s="11"/>
      <c r="N50" s="28"/>
      <c r="O50" s="14"/>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N54" s="28"/>
      <c r="O54" s="15"/>
      <c r="P54" s="26"/>
      <c r="Q54" s="26"/>
      <c r="R54" s="26"/>
      <c r="S54" s="26"/>
      <c r="T54" s="26"/>
      <c r="U54" s="26"/>
      <c r="V54" s="26"/>
      <c r="W54" s="26"/>
      <c r="X54" s="26"/>
      <c r="Y54" s="26"/>
      <c r="Z54" s="26"/>
      <c r="AA54" s="26"/>
      <c r="AB54" s="26"/>
      <c r="AC54" s="28"/>
    </row>
    <row r="55" spans="2:29" x14ac:dyDescent="0.3">
      <c r="B55" s="11"/>
      <c r="M55" s="30"/>
      <c r="N55" s="28"/>
      <c r="O55" s="27"/>
      <c r="P55" s="26"/>
      <c r="Q55" s="26"/>
      <c r="R55" s="26"/>
      <c r="S55" s="26"/>
      <c r="T55" s="26"/>
      <c r="U55" s="26"/>
      <c r="V55" s="26"/>
      <c r="W55" s="26"/>
      <c r="X55" s="26"/>
      <c r="Y55" s="26"/>
      <c r="Z55" s="26"/>
      <c r="AA55" s="26"/>
      <c r="AB55" s="26"/>
      <c r="AC55" s="28"/>
    </row>
    <row r="56" spans="2:29" x14ac:dyDescent="0.3">
      <c r="O56" s="27"/>
      <c r="P56" s="26"/>
      <c r="Q56" s="26"/>
      <c r="R56" s="26"/>
      <c r="S56" s="26"/>
      <c r="T56" s="26"/>
      <c r="U56" s="26"/>
      <c r="V56" s="26"/>
      <c r="W56" s="26"/>
      <c r="X56" s="26"/>
      <c r="Y56" s="26"/>
      <c r="Z56" s="26"/>
      <c r="AA56" s="26"/>
      <c r="AB56" s="26"/>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35"/>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N60" s="28"/>
      <c r="O60" s="29"/>
      <c r="P60" s="28"/>
      <c r="Q60" s="28"/>
      <c r="R60" s="28"/>
      <c r="S60" s="28"/>
      <c r="T60" s="28"/>
      <c r="U60" s="28"/>
      <c r="V60" s="28"/>
      <c r="W60" s="28"/>
      <c r="X60" s="28"/>
      <c r="Y60" s="28"/>
      <c r="Z60" s="28"/>
      <c r="AA60" s="28"/>
      <c r="AB60" s="28"/>
      <c r="AC60" s="28"/>
    </row>
    <row r="61" spans="2:29" x14ac:dyDescent="0.3">
      <c r="O61" s="11"/>
    </row>
    <row r="63" spans="2:29" x14ac:dyDescent="0.3">
      <c r="O63" s="11"/>
    </row>
    <row r="64" spans="2:29" x14ac:dyDescent="0.3">
      <c r="O64" s="11"/>
    </row>
    <row r="67" spans="2:15" x14ac:dyDescent="0.3">
      <c r="O67" s="8"/>
    </row>
    <row r="75" spans="2:15" x14ac:dyDescent="0.3">
      <c r="B75" s="1"/>
    </row>
    <row r="76" spans="2:15" x14ac:dyDescent="0.3">
      <c r="B76" s="65"/>
      <c r="C76" s="65"/>
      <c r="D76" s="65"/>
      <c r="E76" s="65"/>
      <c r="F76" s="65"/>
      <c r="G76" s="65"/>
      <c r="H76" s="65"/>
      <c r="I76" s="65"/>
      <c r="J76" s="65"/>
      <c r="K76" s="65"/>
      <c r="L76" s="65"/>
      <c r="N76" s="8"/>
    </row>
    <row r="77" spans="2:15" x14ac:dyDescent="0.3">
      <c r="C77" s="23"/>
    </row>
    <row r="78" spans="2:15" x14ac:dyDescent="0.3">
      <c r="C78" s="23"/>
    </row>
    <row r="79" spans="2:15" x14ac:dyDescent="0.3">
      <c r="C79" s="23"/>
    </row>
    <row r="80" spans="2:15" x14ac:dyDescent="0.3">
      <c r="C80" s="23"/>
    </row>
    <row r="81" spans="3:3" x14ac:dyDescent="0.3">
      <c r="C81" s="23"/>
    </row>
  </sheetData>
  <mergeCells count="1">
    <mergeCell ref="B76:L76"/>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4466-E8F8-439D-AE55-BACDF1E77CE2}">
  <dimension ref="B3:AG81"/>
  <sheetViews>
    <sheetView showGridLines="0" topLeftCell="A9" zoomScale="70" zoomScaleNormal="70" workbookViewId="0">
      <selection activeCell="P39" sqref="P39"/>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 min="25" max="25" width="13.125" customWidth="1"/>
  </cols>
  <sheetData>
    <row r="3" spans="2:33" x14ac:dyDescent="0.3">
      <c r="B3" s="1" t="s">
        <v>80</v>
      </c>
      <c r="O3" s="1" t="s">
        <v>97</v>
      </c>
    </row>
    <row r="15" spans="2:33" x14ac:dyDescent="0.3">
      <c r="AE15" t="s">
        <v>232</v>
      </c>
      <c r="AF15" t="s">
        <v>233</v>
      </c>
      <c r="AG15" t="s">
        <v>234</v>
      </c>
    </row>
    <row r="16" spans="2:33" x14ac:dyDescent="0.3">
      <c r="AF16">
        <v>712</v>
      </c>
      <c r="AG16">
        <v>162.15</v>
      </c>
    </row>
    <row r="17" spans="2:33" x14ac:dyDescent="0.3">
      <c r="AD17">
        <v>670</v>
      </c>
    </row>
    <row r="18" spans="2:33" x14ac:dyDescent="0.3">
      <c r="AD18" t="s">
        <v>227</v>
      </c>
      <c r="AE18">
        <v>745</v>
      </c>
      <c r="AF18">
        <f>AE18-AF16</f>
        <v>33</v>
      </c>
      <c r="AG18" s="37" t="s">
        <v>236</v>
      </c>
    </row>
    <row r="19" spans="2:33" x14ac:dyDescent="0.3">
      <c r="AD19" t="s">
        <v>228</v>
      </c>
      <c r="AE19">
        <v>1270</v>
      </c>
      <c r="AF19">
        <f>AE19/7.45</f>
        <v>170.46979865771812</v>
      </c>
      <c r="AG19" s="37" t="s">
        <v>235</v>
      </c>
    </row>
    <row r="20" spans="2:33" x14ac:dyDescent="0.3">
      <c r="AD20" t="s">
        <v>229</v>
      </c>
      <c r="AE20">
        <v>750</v>
      </c>
      <c r="AF20">
        <f>AE20-AF16</f>
        <v>38</v>
      </c>
      <c r="AG20" s="37" t="s">
        <v>237</v>
      </c>
    </row>
    <row r="21" spans="2:33" x14ac:dyDescent="0.3">
      <c r="C21" s="32"/>
      <c r="D21" s="33"/>
      <c r="E21" s="33"/>
      <c r="AD21" t="s">
        <v>230</v>
      </c>
      <c r="AE21">
        <v>680</v>
      </c>
      <c r="AG21" s="38"/>
    </row>
    <row r="22" spans="2:33" ht="27" x14ac:dyDescent="0.3">
      <c r="B22" s="4"/>
      <c r="C22" s="34">
        <v>46153</v>
      </c>
      <c r="D22" s="34">
        <v>46160</v>
      </c>
      <c r="E22" s="34">
        <v>46167</v>
      </c>
      <c r="F22" s="31" t="s">
        <v>135</v>
      </c>
      <c r="H22" s="9"/>
      <c r="J22" s="9"/>
      <c r="O22" s="6" t="s">
        <v>4</v>
      </c>
      <c r="P22" s="5">
        <v>46132</v>
      </c>
      <c r="Q22" s="5">
        <v>46140</v>
      </c>
      <c r="R22" s="5">
        <v>46147</v>
      </c>
      <c r="S22" s="7" t="s">
        <v>8</v>
      </c>
      <c r="AD22" t="s">
        <v>231</v>
      </c>
      <c r="AE22">
        <v>1400</v>
      </c>
      <c r="AF22">
        <f>AE22/7.45</f>
        <v>187.91946308724832</v>
      </c>
      <c r="AG22" s="37" t="s">
        <v>242</v>
      </c>
    </row>
    <row r="23" spans="2:33" x14ac:dyDescent="0.3">
      <c r="B23" s="4" t="s">
        <v>21</v>
      </c>
      <c r="C23" s="19">
        <v>270</v>
      </c>
      <c r="D23" s="19">
        <v>130</v>
      </c>
      <c r="E23" s="19">
        <v>70</v>
      </c>
      <c r="F23" s="19">
        <v>30</v>
      </c>
      <c r="H23" s="10"/>
      <c r="J23" s="1"/>
      <c r="O23" s="6" t="s">
        <v>1</v>
      </c>
      <c r="P23" s="2">
        <v>780</v>
      </c>
      <c r="Q23" s="2">
        <v>790</v>
      </c>
      <c r="R23" s="44">
        <v>986</v>
      </c>
      <c r="S23" s="3" t="s">
        <v>15</v>
      </c>
      <c r="AD23" t="s">
        <v>238</v>
      </c>
      <c r="AE23">
        <v>790</v>
      </c>
      <c r="AF23">
        <f>AE23-AF16</f>
        <v>78</v>
      </c>
      <c r="AG23" s="37" t="s">
        <v>239</v>
      </c>
    </row>
    <row r="24" spans="2:33" x14ac:dyDescent="0.3">
      <c r="B24" s="4" t="s">
        <v>5</v>
      </c>
      <c r="C24" s="19">
        <v>230</v>
      </c>
      <c r="D24" s="19">
        <v>150</v>
      </c>
      <c r="E24" s="19">
        <v>30</v>
      </c>
      <c r="F24" s="19">
        <v>20</v>
      </c>
      <c r="H24" s="10"/>
      <c r="J24" s="1"/>
      <c r="O24" s="6" t="s">
        <v>0</v>
      </c>
      <c r="P24" s="2">
        <v>652</v>
      </c>
      <c r="Q24" s="2">
        <v>745</v>
      </c>
      <c r="R24" s="44">
        <v>832</v>
      </c>
      <c r="S24" s="3" t="s">
        <v>15</v>
      </c>
      <c r="AD24" t="s">
        <v>240</v>
      </c>
      <c r="AE24" s="15">
        <v>1360</v>
      </c>
      <c r="AF24" s="15">
        <f>AE24/7.45</f>
        <v>182.5503355704698</v>
      </c>
      <c r="AG24" s="39" t="s">
        <v>241</v>
      </c>
    </row>
    <row r="25" spans="2:33" x14ac:dyDescent="0.3">
      <c r="B25" s="4" t="s">
        <v>6</v>
      </c>
      <c r="C25" s="19"/>
      <c r="D25" s="19">
        <v>150</v>
      </c>
      <c r="E25" s="19">
        <v>120</v>
      </c>
      <c r="F25" s="19">
        <v>70</v>
      </c>
      <c r="H25" s="1"/>
      <c r="J25" s="1"/>
      <c r="O25" s="6" t="s">
        <v>2</v>
      </c>
      <c r="P25" s="2">
        <v>1230</v>
      </c>
      <c r="Q25" s="2">
        <v>1240</v>
      </c>
      <c r="R25" s="44">
        <v>1220</v>
      </c>
      <c r="S25" s="3" t="s">
        <v>15</v>
      </c>
    </row>
    <row r="26" spans="2:33" x14ac:dyDescent="0.3">
      <c r="B26" s="4" t="s">
        <v>7</v>
      </c>
      <c r="C26" s="19">
        <v>200</v>
      </c>
      <c r="D26" s="19">
        <v>140</v>
      </c>
      <c r="E26" s="19">
        <v>30</v>
      </c>
      <c r="F26" s="19">
        <v>20</v>
      </c>
      <c r="H26" s="10"/>
      <c r="J26" s="10"/>
      <c r="O26" s="6" t="s">
        <v>3</v>
      </c>
      <c r="P26" s="2">
        <v>703</v>
      </c>
      <c r="Q26" s="2">
        <v>750</v>
      </c>
      <c r="R26" s="44">
        <v>800</v>
      </c>
      <c r="S26" s="3"/>
    </row>
    <row r="27" spans="2:33" x14ac:dyDescent="0.3">
      <c r="O27" s="6"/>
      <c r="P27" s="2"/>
      <c r="Q27" s="2"/>
      <c r="R27" s="2"/>
      <c r="S27" s="2"/>
    </row>
    <row r="28" spans="2:33" x14ac:dyDescent="0.3">
      <c r="B28" s="12" t="s">
        <v>16</v>
      </c>
    </row>
    <row r="29" spans="2:33" ht="21" customHeight="1" x14ac:dyDescent="0.3">
      <c r="B29" s="11" t="s">
        <v>277</v>
      </c>
      <c r="O29" s="14" t="s">
        <v>176</v>
      </c>
      <c r="P29" s="15"/>
      <c r="Q29" s="15"/>
      <c r="R29" s="15"/>
      <c r="S29" s="15"/>
      <c r="T29" s="15"/>
      <c r="U29" s="15"/>
      <c r="V29" s="15"/>
      <c r="W29" s="15"/>
      <c r="X29" s="15"/>
    </row>
    <row r="30" spans="2:33" ht="21" customHeight="1" x14ac:dyDescent="0.3">
      <c r="B30" s="43" t="s">
        <v>261</v>
      </c>
      <c r="O30" s="16" t="s">
        <v>50</v>
      </c>
      <c r="P30" s="15"/>
      <c r="Q30" s="15"/>
      <c r="R30" s="15"/>
      <c r="S30" s="15"/>
      <c r="T30" s="15"/>
      <c r="U30" s="15"/>
      <c r="V30" s="15"/>
      <c r="W30" s="15"/>
      <c r="X30" s="15"/>
      <c r="Y30" s="15"/>
      <c r="Z30" s="15"/>
      <c r="AA30" s="15"/>
      <c r="AB30" s="15"/>
    </row>
    <row r="31" spans="2:33" x14ac:dyDescent="0.3">
      <c r="B31" s="11" t="s">
        <v>244</v>
      </c>
      <c r="O31" s="17" t="s">
        <v>268</v>
      </c>
      <c r="P31" s="15"/>
      <c r="Q31" s="15"/>
      <c r="R31" s="15"/>
      <c r="S31" s="15"/>
      <c r="T31" s="15"/>
      <c r="U31" s="15"/>
      <c r="V31" s="15"/>
      <c r="W31" s="15"/>
      <c r="X31" s="15"/>
      <c r="Y31" s="15"/>
      <c r="Z31" s="15"/>
      <c r="AA31" s="15"/>
      <c r="AB31" s="15"/>
    </row>
    <row r="32" spans="2:33" x14ac:dyDescent="0.3">
      <c r="B32" s="11" t="s">
        <v>262</v>
      </c>
      <c r="O32" s="17" t="s">
        <v>269</v>
      </c>
      <c r="P32" s="15"/>
      <c r="Q32" s="15"/>
      <c r="R32" s="15"/>
      <c r="S32" s="15"/>
      <c r="T32" s="15"/>
      <c r="U32" s="15"/>
      <c r="V32" s="15"/>
      <c r="W32" s="15"/>
      <c r="X32" s="15"/>
      <c r="Y32" s="15"/>
      <c r="Z32" s="15"/>
      <c r="AA32" s="15"/>
      <c r="AB32" s="15"/>
    </row>
    <row r="33" spans="2:28" ht="13.9" customHeight="1" x14ac:dyDescent="0.3">
      <c r="B33" s="11"/>
      <c r="O33" s="17" t="s">
        <v>270</v>
      </c>
      <c r="P33" s="15"/>
      <c r="Q33" s="15"/>
      <c r="R33" s="15"/>
      <c r="S33" s="15"/>
      <c r="T33" s="15"/>
      <c r="U33" s="15"/>
      <c r="V33" s="15"/>
      <c r="W33" s="15"/>
      <c r="X33" s="15"/>
      <c r="Y33" s="15"/>
      <c r="Z33" s="15"/>
      <c r="AA33" s="15"/>
      <c r="AB33" s="15"/>
    </row>
    <row r="34" spans="2:28" x14ac:dyDescent="0.3">
      <c r="O34" s="14" t="s">
        <v>40</v>
      </c>
      <c r="P34" s="15"/>
      <c r="Q34" s="15"/>
      <c r="R34" s="15"/>
      <c r="S34" s="15"/>
      <c r="T34" s="15"/>
      <c r="U34" s="15"/>
      <c r="V34" s="15"/>
      <c r="W34" s="15"/>
      <c r="X34" s="15"/>
      <c r="Y34" s="15"/>
      <c r="Z34" s="15"/>
      <c r="AA34" s="15"/>
      <c r="AB34" s="15"/>
    </row>
    <row r="35" spans="2:28" x14ac:dyDescent="0.3">
      <c r="B35" s="12" t="s">
        <v>260</v>
      </c>
      <c r="O35" s="17" t="s">
        <v>271</v>
      </c>
      <c r="P35" s="15"/>
      <c r="Q35" s="15"/>
      <c r="R35" s="15"/>
      <c r="S35" s="15"/>
      <c r="T35" s="15"/>
      <c r="U35" s="15"/>
      <c r="V35" s="15"/>
      <c r="W35" s="15"/>
      <c r="X35" s="15"/>
      <c r="Y35" s="15"/>
      <c r="Z35" s="15"/>
      <c r="AA35" s="15"/>
      <c r="AB35" s="15"/>
    </row>
    <row r="36" spans="2:28" x14ac:dyDescent="0.3">
      <c r="B36" s="20" t="s">
        <v>264</v>
      </c>
      <c r="C36" s="21"/>
      <c r="O36" s="17" t="s">
        <v>272</v>
      </c>
      <c r="P36" s="15"/>
      <c r="Q36" s="15"/>
      <c r="R36" s="15"/>
      <c r="S36" s="15"/>
      <c r="T36" s="15"/>
      <c r="U36" s="15"/>
      <c r="V36" s="15"/>
      <c r="W36" s="15"/>
      <c r="X36" s="15"/>
      <c r="Y36" s="15"/>
      <c r="Z36" s="15"/>
      <c r="AA36" s="15"/>
      <c r="AB36" s="15"/>
    </row>
    <row r="37" spans="2:28" x14ac:dyDescent="0.3">
      <c r="B37" s="20" t="s">
        <v>265</v>
      </c>
      <c r="C37" s="21"/>
      <c r="O37" s="17" t="s">
        <v>273</v>
      </c>
      <c r="P37" s="15"/>
      <c r="Q37" s="15"/>
      <c r="R37" s="15"/>
      <c r="S37" s="15"/>
      <c r="T37" s="15"/>
      <c r="U37" s="15"/>
      <c r="V37" s="15"/>
      <c r="W37" s="15"/>
      <c r="X37" s="15"/>
      <c r="Y37" s="15"/>
      <c r="Z37" s="15"/>
      <c r="AA37" s="15"/>
      <c r="AB37" s="15"/>
    </row>
    <row r="38" spans="2:28" x14ac:dyDescent="0.3">
      <c r="B38" s="20" t="s">
        <v>255</v>
      </c>
      <c r="C38" s="21"/>
      <c r="O38" s="14" t="s">
        <v>44</v>
      </c>
      <c r="P38" s="15"/>
      <c r="Q38" s="15"/>
      <c r="R38" s="15"/>
      <c r="S38" s="15"/>
      <c r="T38" s="15"/>
      <c r="U38" s="15"/>
      <c r="V38" s="15"/>
      <c r="W38" s="15"/>
      <c r="X38" s="15"/>
      <c r="Y38" s="15"/>
      <c r="Z38" s="15"/>
      <c r="AA38" s="15"/>
      <c r="AB38" s="15"/>
    </row>
    <row r="39" spans="2:28" x14ac:dyDescent="0.3">
      <c r="B39" s="20" t="s">
        <v>101</v>
      </c>
      <c r="C39" s="21"/>
      <c r="O39" s="17" t="s">
        <v>274</v>
      </c>
      <c r="P39" s="15"/>
      <c r="Q39" s="15"/>
      <c r="R39" s="15"/>
      <c r="S39" s="15"/>
      <c r="T39" s="15"/>
      <c r="U39" s="15"/>
      <c r="V39" s="15"/>
      <c r="W39" s="15"/>
      <c r="X39" s="15"/>
      <c r="Y39" s="15"/>
      <c r="Z39" s="15"/>
      <c r="AA39" s="15"/>
      <c r="AB39" s="15"/>
    </row>
    <row r="40" spans="2:28" ht="18" customHeight="1" x14ac:dyDescent="0.3">
      <c r="B40" s="40" t="s">
        <v>266</v>
      </c>
      <c r="C40" s="41"/>
      <c r="O40" s="17" t="s">
        <v>275</v>
      </c>
      <c r="P40" s="15"/>
      <c r="Q40" s="15"/>
      <c r="R40" s="15"/>
      <c r="S40" s="15"/>
      <c r="T40" s="15"/>
      <c r="U40" s="15"/>
      <c r="V40" s="15"/>
      <c r="W40" s="15"/>
      <c r="X40" s="15"/>
      <c r="Y40" s="15"/>
      <c r="Z40" s="15"/>
      <c r="AA40" s="15"/>
      <c r="AB40" s="15"/>
    </row>
    <row r="41" spans="2:28" ht="12.6" customHeight="1" x14ac:dyDescent="0.3">
      <c r="B41" s="42"/>
      <c r="C41" s="41"/>
      <c r="O41" s="17"/>
      <c r="P41" s="15"/>
      <c r="Q41" s="15"/>
      <c r="R41" s="15"/>
      <c r="S41" s="15"/>
      <c r="T41" s="15"/>
      <c r="U41" s="15"/>
      <c r="V41" s="15"/>
      <c r="W41" s="15"/>
      <c r="X41" s="15"/>
      <c r="Y41" s="15"/>
      <c r="Z41" s="15"/>
      <c r="AA41" s="15"/>
      <c r="AB41" s="15"/>
    </row>
    <row r="42" spans="2:28" x14ac:dyDescent="0.3">
      <c r="O42" s="14" t="s">
        <v>47</v>
      </c>
      <c r="P42" s="15"/>
      <c r="Q42" s="15"/>
      <c r="R42" s="15"/>
      <c r="S42" s="15"/>
      <c r="T42" s="15"/>
      <c r="U42" s="15"/>
      <c r="V42" s="15"/>
      <c r="W42" s="15"/>
      <c r="X42" s="15"/>
      <c r="Y42" s="15"/>
      <c r="Z42" s="15"/>
      <c r="AA42" s="15"/>
      <c r="AB42" s="15"/>
    </row>
    <row r="43" spans="2:28" x14ac:dyDescent="0.3">
      <c r="B43" s="12" t="s">
        <v>17</v>
      </c>
      <c r="C43" s="12"/>
      <c r="D43" s="12"/>
      <c r="E43" s="12"/>
      <c r="F43" s="12"/>
      <c r="G43" s="12"/>
      <c r="H43" s="12"/>
      <c r="I43" s="12"/>
      <c r="J43" s="12"/>
      <c r="K43" s="12"/>
      <c r="L43" s="12"/>
      <c r="M43" s="12"/>
      <c r="N43" s="12"/>
      <c r="O43" s="17" t="s">
        <v>248</v>
      </c>
      <c r="P43" s="15"/>
      <c r="Q43" s="15"/>
      <c r="R43" s="15"/>
      <c r="S43" s="15"/>
      <c r="T43" s="15"/>
      <c r="U43" s="15"/>
      <c r="V43" s="15"/>
      <c r="W43" s="15"/>
      <c r="X43" s="15"/>
      <c r="Y43" s="15"/>
      <c r="Z43" s="15"/>
      <c r="AA43" s="15"/>
      <c r="AB43" s="15"/>
    </row>
    <row r="44" spans="2:28" x14ac:dyDescent="0.3">
      <c r="B44" s="20" t="s">
        <v>267</v>
      </c>
      <c r="C44" s="21"/>
      <c r="D44" s="21"/>
      <c r="E44" s="21"/>
      <c r="F44" s="21"/>
      <c r="G44" s="21"/>
      <c r="H44" s="21"/>
      <c r="I44" s="21"/>
      <c r="J44" s="21"/>
      <c r="K44" s="21"/>
      <c r="L44" s="21"/>
      <c r="M44" s="21"/>
      <c r="N44" s="21"/>
      <c r="O44" s="17" t="s">
        <v>276</v>
      </c>
      <c r="P44" s="15"/>
      <c r="Q44" s="15"/>
      <c r="R44" s="15"/>
      <c r="S44" s="15"/>
      <c r="T44" s="15"/>
      <c r="U44" s="15"/>
      <c r="V44" s="15"/>
      <c r="W44" s="15"/>
      <c r="X44" s="15"/>
      <c r="Y44" s="15"/>
      <c r="Z44" s="15"/>
      <c r="AA44" s="15"/>
      <c r="AB44" s="15"/>
    </row>
    <row r="45" spans="2:28" x14ac:dyDescent="0.3">
      <c r="B45" s="20" t="s">
        <v>257</v>
      </c>
      <c r="C45" s="21"/>
      <c r="D45" s="21"/>
      <c r="E45" s="21"/>
      <c r="F45" s="21"/>
      <c r="G45" s="21"/>
      <c r="H45" s="21"/>
      <c r="I45" s="21"/>
      <c r="J45" s="21"/>
      <c r="K45" s="21"/>
      <c r="L45" s="21"/>
      <c r="M45" s="21"/>
      <c r="N45" s="21"/>
      <c r="P45" s="15"/>
      <c r="Q45" s="15"/>
      <c r="R45" s="15"/>
      <c r="S45" s="15"/>
      <c r="T45" s="15"/>
      <c r="U45" s="15"/>
      <c r="V45" s="15"/>
      <c r="W45" s="15"/>
      <c r="X45" s="15"/>
      <c r="Y45" s="15"/>
      <c r="Z45" s="15"/>
      <c r="AA45" s="15"/>
      <c r="AB45" s="15"/>
    </row>
    <row r="46" spans="2:28" x14ac:dyDescent="0.3">
      <c r="B46" s="20" t="s">
        <v>258</v>
      </c>
      <c r="C46" s="41"/>
      <c r="D46" s="41"/>
      <c r="E46" s="41"/>
      <c r="F46" s="41"/>
      <c r="G46" s="41"/>
      <c r="H46" s="41"/>
      <c r="I46" s="41"/>
      <c r="J46" s="41"/>
      <c r="K46" s="41"/>
      <c r="L46" s="41"/>
      <c r="M46" s="41"/>
      <c r="N46" s="41"/>
      <c r="O46" s="17"/>
      <c r="P46" s="15"/>
      <c r="Q46" s="15"/>
      <c r="R46" s="15"/>
      <c r="S46" s="15"/>
      <c r="T46" s="15"/>
      <c r="U46" s="15"/>
      <c r="V46" s="15"/>
      <c r="W46" s="15"/>
      <c r="X46" s="15"/>
      <c r="Y46" s="15"/>
      <c r="Z46" s="15"/>
      <c r="AA46" s="15"/>
      <c r="AB46" s="15"/>
    </row>
    <row r="47" spans="2:28" x14ac:dyDescent="0.3">
      <c r="O47" s="17"/>
      <c r="P47" s="15"/>
      <c r="Q47" s="15"/>
      <c r="R47" s="15"/>
      <c r="S47" s="15"/>
      <c r="T47" s="15"/>
      <c r="U47" s="15"/>
      <c r="V47" s="15"/>
      <c r="W47" s="15"/>
      <c r="X47" s="15"/>
      <c r="Y47" s="15"/>
      <c r="Z47" s="15"/>
      <c r="AA47" s="15"/>
      <c r="AB47" s="15"/>
    </row>
    <row r="48" spans="2:28" x14ac:dyDescent="0.3">
      <c r="B48" s="1" t="s">
        <v>98</v>
      </c>
      <c r="P48" s="15"/>
      <c r="Q48" s="15"/>
      <c r="R48" s="15"/>
      <c r="S48" s="15"/>
      <c r="T48" s="15"/>
      <c r="U48" s="15"/>
      <c r="V48" s="15"/>
      <c r="W48" s="15"/>
      <c r="X48" s="15"/>
      <c r="Y48" s="15"/>
      <c r="Z48" s="15"/>
      <c r="AA48" s="15"/>
      <c r="AB48" s="15"/>
    </row>
    <row r="49" spans="2:29" x14ac:dyDescent="0.3">
      <c r="B49" s="11"/>
      <c r="N49" s="28"/>
      <c r="O49" s="26"/>
      <c r="P49" s="26"/>
      <c r="Q49" s="26"/>
      <c r="R49" s="26"/>
      <c r="S49" s="26"/>
      <c r="T49" s="26"/>
      <c r="U49" s="26"/>
      <c r="V49" s="26"/>
      <c r="W49" s="26"/>
      <c r="X49" s="26"/>
      <c r="Y49" s="26"/>
      <c r="Z49" s="26"/>
      <c r="AA49" s="26"/>
      <c r="AB49" s="26"/>
      <c r="AC49" s="28"/>
    </row>
    <row r="50" spans="2:29" x14ac:dyDescent="0.3">
      <c r="B50" s="11"/>
      <c r="N50" s="28"/>
      <c r="O50" s="14"/>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N54" s="28"/>
      <c r="O54" s="15"/>
      <c r="P54" s="26"/>
      <c r="Q54" s="26"/>
      <c r="R54" s="26"/>
      <c r="S54" s="26"/>
      <c r="T54" s="26"/>
      <c r="U54" s="26"/>
      <c r="V54" s="26"/>
      <c r="W54" s="26"/>
      <c r="X54" s="26"/>
      <c r="Y54" s="26"/>
      <c r="Z54" s="26"/>
      <c r="AA54" s="26"/>
      <c r="AB54" s="26"/>
      <c r="AC54" s="28"/>
    </row>
    <row r="55" spans="2:29" x14ac:dyDescent="0.3">
      <c r="B55" s="11"/>
      <c r="M55" s="30"/>
      <c r="N55" s="28"/>
      <c r="O55" s="27"/>
      <c r="P55" s="26"/>
      <c r="Q55" s="26"/>
      <c r="R55" s="26"/>
      <c r="S55" s="26"/>
      <c r="T55" s="26"/>
      <c r="U55" s="26"/>
      <c r="V55" s="26"/>
      <c r="W55" s="26"/>
      <c r="X55" s="26"/>
      <c r="Y55" s="26"/>
      <c r="Z55" s="26"/>
      <c r="AA55" s="26"/>
      <c r="AB55" s="26"/>
      <c r="AC55" s="28"/>
    </row>
    <row r="56" spans="2:29" x14ac:dyDescent="0.3">
      <c r="O56" s="27"/>
      <c r="P56" s="26"/>
      <c r="Q56" s="26"/>
      <c r="R56" s="26"/>
      <c r="S56" s="26"/>
      <c r="T56" s="26"/>
      <c r="U56" s="26"/>
      <c r="V56" s="26"/>
      <c r="W56" s="26"/>
      <c r="X56" s="26"/>
      <c r="Y56" s="26"/>
      <c r="Z56" s="26"/>
      <c r="AA56" s="26"/>
      <c r="AB56" s="26"/>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35"/>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N60" s="28"/>
      <c r="O60" s="29"/>
      <c r="P60" s="28"/>
      <c r="Q60" s="28"/>
      <c r="R60" s="28"/>
      <c r="S60" s="28"/>
      <c r="T60" s="28"/>
      <c r="U60" s="28"/>
      <c r="V60" s="28"/>
      <c r="W60" s="28"/>
      <c r="X60" s="28"/>
      <c r="Y60" s="28"/>
      <c r="Z60" s="28"/>
      <c r="AA60" s="28"/>
      <c r="AB60" s="28"/>
      <c r="AC60" s="28"/>
    </row>
    <row r="61" spans="2:29" x14ac:dyDescent="0.3">
      <c r="O61" s="11"/>
    </row>
    <row r="63" spans="2:29" x14ac:dyDescent="0.3">
      <c r="O63" s="11"/>
    </row>
    <row r="64" spans="2:29" x14ac:dyDescent="0.3">
      <c r="O64" s="11"/>
    </row>
    <row r="67" spans="2:15" x14ac:dyDescent="0.3">
      <c r="O67" s="8"/>
    </row>
    <row r="75" spans="2:15" x14ac:dyDescent="0.3">
      <c r="B75" s="1"/>
    </row>
    <row r="76" spans="2:15" x14ac:dyDescent="0.3">
      <c r="B76" s="65"/>
      <c r="C76" s="65"/>
      <c r="D76" s="65"/>
      <c r="E76" s="65"/>
      <c r="F76" s="65"/>
      <c r="G76" s="65"/>
      <c r="H76" s="65"/>
      <c r="I76" s="65"/>
      <c r="J76" s="65"/>
      <c r="K76" s="65"/>
      <c r="L76" s="65"/>
      <c r="N76" s="8"/>
    </row>
    <row r="77" spans="2:15" x14ac:dyDescent="0.3">
      <c r="C77" s="23"/>
    </row>
    <row r="78" spans="2:15" x14ac:dyDescent="0.3">
      <c r="C78" s="23"/>
    </row>
    <row r="79" spans="2:15" x14ac:dyDescent="0.3">
      <c r="C79" s="23"/>
    </row>
    <row r="80" spans="2:15" x14ac:dyDescent="0.3">
      <c r="C80" s="23"/>
    </row>
    <row r="81" spans="3:3" x14ac:dyDescent="0.3">
      <c r="C81" s="23"/>
    </row>
  </sheetData>
  <mergeCells count="1">
    <mergeCell ref="B76:L76"/>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D577B-5F87-4FFC-ADA6-1DF8A896B9AC}">
  <dimension ref="B3:AG81"/>
  <sheetViews>
    <sheetView showGridLines="0" topLeftCell="A6" zoomScale="70" zoomScaleNormal="70" workbookViewId="0">
      <selection activeCell="B51" sqref="B51"/>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 min="25" max="25" width="13.125" customWidth="1"/>
  </cols>
  <sheetData>
    <row r="3" spans="2:33" x14ac:dyDescent="0.3">
      <c r="B3" s="1" t="s">
        <v>80</v>
      </c>
      <c r="O3" s="1" t="s">
        <v>97</v>
      </c>
    </row>
    <row r="15" spans="2:33" x14ac:dyDescent="0.3">
      <c r="AE15" t="s">
        <v>232</v>
      </c>
      <c r="AF15" t="s">
        <v>233</v>
      </c>
      <c r="AG15" t="s">
        <v>234</v>
      </c>
    </row>
    <row r="16" spans="2:33" x14ac:dyDescent="0.3">
      <c r="AF16">
        <v>712</v>
      </c>
      <c r="AG16">
        <v>162.15</v>
      </c>
    </row>
    <row r="17" spans="2:33" x14ac:dyDescent="0.3">
      <c r="AD17">
        <v>670</v>
      </c>
    </row>
    <row r="18" spans="2:33" x14ac:dyDescent="0.3">
      <c r="AD18" t="s">
        <v>227</v>
      </c>
      <c r="AE18">
        <v>745</v>
      </c>
      <c r="AF18">
        <f>AE18-AF16</f>
        <v>33</v>
      </c>
      <c r="AG18" s="37" t="s">
        <v>236</v>
      </c>
    </row>
    <row r="19" spans="2:33" x14ac:dyDescent="0.3">
      <c r="AD19" t="s">
        <v>228</v>
      </c>
      <c r="AE19">
        <v>1270</v>
      </c>
      <c r="AF19">
        <f>AE19/7.45</f>
        <v>170.46979865771812</v>
      </c>
      <c r="AG19" s="37" t="s">
        <v>235</v>
      </c>
    </row>
    <row r="20" spans="2:33" x14ac:dyDescent="0.3">
      <c r="AD20" t="s">
        <v>229</v>
      </c>
      <c r="AE20">
        <v>750</v>
      </c>
      <c r="AF20">
        <f>AE20-AF16</f>
        <v>38</v>
      </c>
      <c r="AG20" s="37" t="s">
        <v>237</v>
      </c>
    </row>
    <row r="21" spans="2:33" x14ac:dyDescent="0.3">
      <c r="C21" s="32"/>
      <c r="D21" s="33"/>
      <c r="E21" s="33"/>
      <c r="AD21" t="s">
        <v>230</v>
      </c>
      <c r="AE21">
        <v>680</v>
      </c>
      <c r="AG21" s="38"/>
    </row>
    <row r="22" spans="2:33" ht="27" x14ac:dyDescent="0.3">
      <c r="B22" s="4"/>
      <c r="C22" s="34">
        <v>46146</v>
      </c>
      <c r="D22" s="34">
        <v>46153</v>
      </c>
      <c r="E22" s="34">
        <v>46160</v>
      </c>
      <c r="F22" s="31" t="s">
        <v>135</v>
      </c>
      <c r="H22" s="9"/>
      <c r="J22" s="9"/>
      <c r="O22" s="6" t="s">
        <v>4</v>
      </c>
      <c r="P22" s="5">
        <v>46132</v>
      </c>
      <c r="Q22" s="5">
        <v>46140</v>
      </c>
      <c r="R22" s="5">
        <v>46147</v>
      </c>
      <c r="S22" s="7" t="s">
        <v>8</v>
      </c>
      <c r="AD22" t="s">
        <v>231</v>
      </c>
      <c r="AE22">
        <v>1400</v>
      </c>
      <c r="AF22">
        <f>AE22/7.45</f>
        <v>187.91946308724832</v>
      </c>
      <c r="AG22" s="37" t="s">
        <v>242</v>
      </c>
    </row>
    <row r="23" spans="2:33" x14ac:dyDescent="0.3">
      <c r="B23" s="4" t="s">
        <v>21</v>
      </c>
      <c r="C23" s="19">
        <v>200</v>
      </c>
      <c r="D23" s="19">
        <v>270</v>
      </c>
      <c r="E23" s="19">
        <v>130</v>
      </c>
      <c r="F23" s="19">
        <v>120</v>
      </c>
      <c r="H23" s="10"/>
      <c r="J23" s="1"/>
      <c r="O23" s="6" t="s">
        <v>1</v>
      </c>
      <c r="P23" s="2">
        <v>780</v>
      </c>
      <c r="Q23" s="2">
        <v>790</v>
      </c>
      <c r="R23" s="44">
        <v>986</v>
      </c>
      <c r="S23" s="3" t="s">
        <v>15</v>
      </c>
      <c r="AD23" t="s">
        <v>238</v>
      </c>
      <c r="AE23">
        <v>790</v>
      </c>
      <c r="AF23">
        <f>AE23-AF16</f>
        <v>78</v>
      </c>
      <c r="AG23" s="37" t="s">
        <v>239</v>
      </c>
    </row>
    <row r="24" spans="2:33" x14ac:dyDescent="0.3">
      <c r="B24" s="4" t="s">
        <v>5</v>
      </c>
      <c r="C24" s="19">
        <v>220</v>
      </c>
      <c r="D24" s="19">
        <v>230</v>
      </c>
      <c r="E24" s="19">
        <v>150</v>
      </c>
      <c r="F24" s="19">
        <v>120</v>
      </c>
      <c r="H24" s="10"/>
      <c r="J24" s="1"/>
      <c r="O24" s="6" t="s">
        <v>0</v>
      </c>
      <c r="P24" s="2">
        <v>652</v>
      </c>
      <c r="Q24" s="2">
        <v>745</v>
      </c>
      <c r="R24" s="44">
        <v>832</v>
      </c>
      <c r="S24" s="3" t="s">
        <v>15</v>
      </c>
      <c r="AD24" t="s">
        <v>240</v>
      </c>
      <c r="AE24" s="15">
        <v>1360</v>
      </c>
      <c r="AF24" s="15">
        <f>AE24/7.45</f>
        <v>182.5503355704698</v>
      </c>
      <c r="AG24" s="39" t="s">
        <v>241</v>
      </c>
    </row>
    <row r="25" spans="2:33" x14ac:dyDescent="0.3">
      <c r="B25" s="4" t="s">
        <v>6</v>
      </c>
      <c r="C25" s="19"/>
      <c r="D25" s="19"/>
      <c r="E25" s="19">
        <v>180</v>
      </c>
      <c r="F25" s="19">
        <v>150</v>
      </c>
      <c r="H25" s="1"/>
      <c r="J25" s="1"/>
      <c r="O25" s="6" t="s">
        <v>2</v>
      </c>
      <c r="P25" s="2">
        <v>1230</v>
      </c>
      <c r="Q25" s="2">
        <v>1240</v>
      </c>
      <c r="R25" s="44">
        <v>1220</v>
      </c>
      <c r="S25" s="3" t="s">
        <v>15</v>
      </c>
    </row>
    <row r="26" spans="2:33" x14ac:dyDescent="0.3">
      <c r="B26" s="4" t="s">
        <v>7</v>
      </c>
      <c r="C26" s="19"/>
      <c r="D26" s="19">
        <v>200</v>
      </c>
      <c r="E26" s="19">
        <v>180</v>
      </c>
      <c r="F26" s="19">
        <v>150</v>
      </c>
      <c r="H26" s="10"/>
      <c r="J26" s="10"/>
      <c r="O26" s="6" t="s">
        <v>3</v>
      </c>
      <c r="P26" s="2">
        <v>703</v>
      </c>
      <c r="Q26" s="2">
        <v>750</v>
      </c>
      <c r="R26" s="44">
        <v>800</v>
      </c>
      <c r="S26" s="3"/>
    </row>
    <row r="27" spans="2:33" x14ac:dyDescent="0.3">
      <c r="O27" s="6"/>
      <c r="P27" s="2"/>
      <c r="Q27" s="2"/>
      <c r="R27" s="2"/>
      <c r="S27" s="2"/>
    </row>
    <row r="28" spans="2:33" x14ac:dyDescent="0.3">
      <c r="B28" s="12" t="s">
        <v>16</v>
      </c>
    </row>
    <row r="29" spans="2:33" ht="21" customHeight="1" x14ac:dyDescent="0.3">
      <c r="B29" s="11" t="s">
        <v>277</v>
      </c>
      <c r="O29" s="14" t="s">
        <v>176</v>
      </c>
      <c r="P29" s="15"/>
      <c r="Q29" s="15"/>
      <c r="R29" s="15"/>
      <c r="S29" s="15"/>
      <c r="T29" s="15"/>
      <c r="U29" s="15"/>
      <c r="V29" s="15"/>
      <c r="W29" s="15"/>
      <c r="X29" s="15"/>
    </row>
    <row r="30" spans="2:33" ht="21" customHeight="1" x14ac:dyDescent="0.3">
      <c r="B30" s="43" t="s">
        <v>261</v>
      </c>
      <c r="O30" s="16" t="s">
        <v>50</v>
      </c>
      <c r="P30" s="15"/>
      <c r="Q30" s="15"/>
      <c r="R30" s="15"/>
      <c r="S30" s="15"/>
      <c r="T30" s="15"/>
      <c r="U30" s="15"/>
      <c r="V30" s="15"/>
      <c r="W30" s="15"/>
      <c r="X30" s="15"/>
      <c r="Y30" s="15"/>
      <c r="Z30" s="15"/>
      <c r="AA30" s="15"/>
      <c r="AB30" s="15"/>
    </row>
    <row r="31" spans="2:33" x14ac:dyDescent="0.3">
      <c r="B31" s="11" t="s">
        <v>244</v>
      </c>
      <c r="O31" s="17" t="s">
        <v>268</v>
      </c>
      <c r="P31" s="15"/>
      <c r="Q31" s="15"/>
      <c r="R31" s="15"/>
      <c r="S31" s="15"/>
      <c r="T31" s="15"/>
      <c r="U31" s="15"/>
      <c r="V31" s="15"/>
      <c r="W31" s="15"/>
      <c r="X31" s="15"/>
      <c r="Y31" s="15"/>
      <c r="Z31" s="15"/>
      <c r="AA31" s="15"/>
      <c r="AB31" s="15"/>
    </row>
    <row r="32" spans="2:33" x14ac:dyDescent="0.3">
      <c r="B32" s="11" t="s">
        <v>262</v>
      </c>
      <c r="O32" s="17" t="s">
        <v>269</v>
      </c>
      <c r="P32" s="15"/>
      <c r="Q32" s="15"/>
      <c r="R32" s="15"/>
      <c r="S32" s="15"/>
      <c r="T32" s="15"/>
      <c r="U32" s="15"/>
      <c r="V32" s="15"/>
      <c r="W32" s="15"/>
      <c r="X32" s="15"/>
      <c r="Y32" s="15"/>
      <c r="Z32" s="15"/>
      <c r="AA32" s="15"/>
      <c r="AB32" s="15"/>
    </row>
    <row r="33" spans="2:28" ht="13.9" customHeight="1" x14ac:dyDescent="0.3">
      <c r="B33" s="11"/>
      <c r="O33" s="17" t="s">
        <v>270</v>
      </c>
      <c r="P33" s="15"/>
      <c r="Q33" s="15"/>
      <c r="R33" s="15"/>
      <c r="S33" s="15"/>
      <c r="T33" s="15"/>
      <c r="U33" s="15"/>
      <c r="V33" s="15"/>
      <c r="W33" s="15"/>
      <c r="X33" s="15"/>
      <c r="Y33" s="15"/>
      <c r="Z33" s="15"/>
      <c r="AA33" s="15"/>
      <c r="AB33" s="15"/>
    </row>
    <row r="34" spans="2:28" x14ac:dyDescent="0.3">
      <c r="O34" s="14" t="s">
        <v>40</v>
      </c>
      <c r="P34" s="15"/>
      <c r="Q34" s="15"/>
      <c r="R34" s="15"/>
      <c r="S34" s="15"/>
      <c r="T34" s="15"/>
      <c r="U34" s="15"/>
      <c r="V34" s="15"/>
      <c r="W34" s="15"/>
      <c r="X34" s="15"/>
      <c r="Y34" s="15"/>
      <c r="Z34" s="15"/>
      <c r="AA34" s="15"/>
      <c r="AB34" s="15"/>
    </row>
    <row r="35" spans="2:28" x14ac:dyDescent="0.3">
      <c r="B35" s="12" t="s">
        <v>260</v>
      </c>
      <c r="O35" s="17" t="s">
        <v>271</v>
      </c>
      <c r="P35" s="15"/>
      <c r="Q35" s="15"/>
      <c r="R35" s="15"/>
      <c r="S35" s="15"/>
      <c r="T35" s="15"/>
      <c r="U35" s="15"/>
      <c r="V35" s="15"/>
      <c r="W35" s="15"/>
      <c r="X35" s="15"/>
      <c r="Y35" s="15"/>
      <c r="Z35" s="15"/>
      <c r="AA35" s="15"/>
      <c r="AB35" s="15"/>
    </row>
    <row r="36" spans="2:28" x14ac:dyDescent="0.3">
      <c r="B36" s="20" t="s">
        <v>264</v>
      </c>
      <c r="C36" s="21"/>
      <c r="O36" s="17" t="s">
        <v>272</v>
      </c>
      <c r="P36" s="15"/>
      <c r="Q36" s="15"/>
      <c r="R36" s="15"/>
      <c r="S36" s="15"/>
      <c r="T36" s="15"/>
      <c r="U36" s="15"/>
      <c r="V36" s="15"/>
      <c r="W36" s="15"/>
      <c r="X36" s="15"/>
      <c r="Y36" s="15"/>
      <c r="Z36" s="15"/>
      <c r="AA36" s="15"/>
      <c r="AB36" s="15"/>
    </row>
    <row r="37" spans="2:28" x14ac:dyDescent="0.3">
      <c r="B37" s="20" t="s">
        <v>265</v>
      </c>
      <c r="C37" s="21"/>
      <c r="O37" s="17" t="s">
        <v>273</v>
      </c>
      <c r="P37" s="15"/>
      <c r="Q37" s="15"/>
      <c r="R37" s="15"/>
      <c r="S37" s="15"/>
      <c r="T37" s="15"/>
      <c r="U37" s="15"/>
      <c r="V37" s="15"/>
      <c r="W37" s="15"/>
      <c r="X37" s="15"/>
      <c r="Y37" s="15"/>
      <c r="Z37" s="15"/>
      <c r="AA37" s="15"/>
      <c r="AB37" s="15"/>
    </row>
    <row r="38" spans="2:28" x14ac:dyDescent="0.3">
      <c r="B38" s="20" t="s">
        <v>255</v>
      </c>
      <c r="C38" s="21"/>
      <c r="O38" s="14" t="s">
        <v>44</v>
      </c>
      <c r="P38" s="15"/>
      <c r="Q38" s="15"/>
      <c r="R38" s="15"/>
      <c r="S38" s="15"/>
      <c r="T38" s="15"/>
      <c r="U38" s="15"/>
      <c r="V38" s="15"/>
      <c r="W38" s="15"/>
      <c r="X38" s="15"/>
      <c r="Y38" s="15"/>
      <c r="Z38" s="15"/>
      <c r="AA38" s="15"/>
      <c r="AB38" s="15"/>
    </row>
    <row r="39" spans="2:28" x14ac:dyDescent="0.3">
      <c r="B39" s="20" t="s">
        <v>101</v>
      </c>
      <c r="C39" s="21"/>
      <c r="O39" s="17" t="s">
        <v>274</v>
      </c>
      <c r="P39" s="15"/>
      <c r="Q39" s="15"/>
      <c r="R39" s="15"/>
      <c r="S39" s="15"/>
      <c r="T39" s="15"/>
      <c r="U39" s="15"/>
      <c r="V39" s="15"/>
      <c r="W39" s="15"/>
      <c r="X39" s="15"/>
      <c r="Y39" s="15"/>
      <c r="Z39" s="15"/>
      <c r="AA39" s="15"/>
      <c r="AB39" s="15"/>
    </row>
    <row r="40" spans="2:28" ht="18" customHeight="1" x14ac:dyDescent="0.3">
      <c r="B40" s="40" t="s">
        <v>266</v>
      </c>
      <c r="C40" s="41"/>
      <c r="O40" s="17" t="s">
        <v>275</v>
      </c>
      <c r="P40" s="15"/>
      <c r="Q40" s="15"/>
      <c r="R40" s="15"/>
      <c r="S40" s="15"/>
      <c r="T40" s="15"/>
      <c r="U40" s="15"/>
      <c r="V40" s="15"/>
      <c r="W40" s="15"/>
      <c r="X40" s="15"/>
      <c r="Y40" s="15"/>
      <c r="Z40" s="15"/>
      <c r="AA40" s="15"/>
      <c r="AB40" s="15"/>
    </row>
    <row r="41" spans="2:28" ht="12.6" customHeight="1" x14ac:dyDescent="0.3">
      <c r="B41" s="42"/>
      <c r="C41" s="41"/>
      <c r="O41" s="17"/>
      <c r="P41" s="15"/>
      <c r="Q41" s="15"/>
      <c r="R41" s="15"/>
      <c r="S41" s="15"/>
      <c r="T41" s="15"/>
      <c r="U41" s="15"/>
      <c r="V41" s="15"/>
      <c r="W41" s="15"/>
      <c r="X41" s="15"/>
      <c r="Y41" s="15"/>
      <c r="Z41" s="15"/>
      <c r="AA41" s="15"/>
      <c r="AB41" s="15"/>
    </row>
    <row r="42" spans="2:28" x14ac:dyDescent="0.3">
      <c r="O42" s="14" t="s">
        <v>47</v>
      </c>
      <c r="P42" s="15"/>
      <c r="Q42" s="15"/>
      <c r="R42" s="15"/>
      <c r="S42" s="15"/>
      <c r="T42" s="15"/>
      <c r="U42" s="15"/>
      <c r="V42" s="15"/>
      <c r="W42" s="15"/>
      <c r="X42" s="15"/>
      <c r="Y42" s="15"/>
      <c r="Z42" s="15"/>
      <c r="AA42" s="15"/>
      <c r="AB42" s="15"/>
    </row>
    <row r="43" spans="2:28" x14ac:dyDescent="0.3">
      <c r="B43" s="12" t="s">
        <v>17</v>
      </c>
      <c r="C43" s="12"/>
      <c r="D43" s="12"/>
      <c r="E43" s="12"/>
      <c r="F43" s="12"/>
      <c r="G43" s="12"/>
      <c r="H43" s="12"/>
      <c r="I43" s="12"/>
      <c r="J43" s="12"/>
      <c r="K43" s="12"/>
      <c r="L43" s="12"/>
      <c r="M43" s="12"/>
      <c r="N43" s="12"/>
      <c r="O43" s="17" t="s">
        <v>248</v>
      </c>
      <c r="P43" s="15"/>
      <c r="Q43" s="15"/>
      <c r="R43" s="15"/>
      <c r="S43" s="15"/>
      <c r="T43" s="15"/>
      <c r="U43" s="15"/>
      <c r="V43" s="15"/>
      <c r="W43" s="15"/>
      <c r="X43" s="15"/>
      <c r="Y43" s="15"/>
      <c r="Z43" s="15"/>
      <c r="AA43" s="15"/>
      <c r="AB43" s="15"/>
    </row>
    <row r="44" spans="2:28" x14ac:dyDescent="0.3">
      <c r="B44" s="20" t="s">
        <v>267</v>
      </c>
      <c r="C44" s="21"/>
      <c r="D44" s="21"/>
      <c r="E44" s="21"/>
      <c r="F44" s="21"/>
      <c r="G44" s="21"/>
      <c r="H44" s="21"/>
      <c r="I44" s="21"/>
      <c r="J44" s="21"/>
      <c r="K44" s="21"/>
      <c r="L44" s="21"/>
      <c r="M44" s="21"/>
      <c r="N44" s="21"/>
      <c r="O44" s="17" t="s">
        <v>276</v>
      </c>
      <c r="P44" s="15"/>
      <c r="Q44" s="15"/>
      <c r="R44" s="15"/>
      <c r="S44" s="15"/>
      <c r="T44" s="15"/>
      <c r="U44" s="15"/>
      <c r="V44" s="15"/>
      <c r="W44" s="15"/>
      <c r="X44" s="15"/>
      <c r="Y44" s="15"/>
      <c r="Z44" s="15"/>
      <c r="AA44" s="15"/>
      <c r="AB44" s="15"/>
    </row>
    <row r="45" spans="2:28" x14ac:dyDescent="0.3">
      <c r="B45" s="20" t="s">
        <v>257</v>
      </c>
      <c r="C45" s="21"/>
      <c r="D45" s="21"/>
      <c r="E45" s="21"/>
      <c r="F45" s="21"/>
      <c r="G45" s="21"/>
      <c r="H45" s="21"/>
      <c r="I45" s="21"/>
      <c r="J45" s="21"/>
      <c r="K45" s="21"/>
      <c r="L45" s="21"/>
      <c r="M45" s="21"/>
      <c r="N45" s="21"/>
      <c r="P45" s="15"/>
      <c r="Q45" s="15"/>
      <c r="R45" s="15"/>
      <c r="S45" s="15"/>
      <c r="T45" s="15"/>
      <c r="U45" s="15"/>
      <c r="V45" s="15"/>
      <c r="W45" s="15"/>
      <c r="X45" s="15"/>
      <c r="Y45" s="15"/>
      <c r="Z45" s="15"/>
      <c r="AA45" s="15"/>
      <c r="AB45" s="15"/>
    </row>
    <row r="46" spans="2:28" x14ac:dyDescent="0.3">
      <c r="B46" s="20" t="s">
        <v>258</v>
      </c>
      <c r="C46" s="41"/>
      <c r="D46" s="41"/>
      <c r="E46" s="41"/>
      <c r="F46" s="41"/>
      <c r="G46" s="41"/>
      <c r="H46" s="41"/>
      <c r="I46" s="41"/>
      <c r="J46" s="41"/>
      <c r="K46" s="41"/>
      <c r="L46" s="41"/>
      <c r="M46" s="41"/>
      <c r="N46" s="41"/>
      <c r="O46" s="17"/>
      <c r="P46" s="15"/>
      <c r="Q46" s="15"/>
      <c r="R46" s="15"/>
      <c r="S46" s="15"/>
      <c r="T46" s="15"/>
      <c r="U46" s="15"/>
      <c r="V46" s="15"/>
      <c r="W46" s="15"/>
      <c r="X46" s="15"/>
      <c r="Y46" s="15"/>
      <c r="Z46" s="15"/>
      <c r="AA46" s="15"/>
      <c r="AB46" s="15"/>
    </row>
    <row r="47" spans="2:28" x14ac:dyDescent="0.3">
      <c r="O47" s="17"/>
      <c r="P47" s="15"/>
      <c r="Q47" s="15"/>
      <c r="R47" s="15"/>
      <c r="S47" s="15"/>
      <c r="T47" s="15"/>
      <c r="U47" s="15"/>
      <c r="V47" s="15"/>
      <c r="W47" s="15"/>
      <c r="X47" s="15"/>
      <c r="Y47" s="15"/>
      <c r="Z47" s="15"/>
      <c r="AA47" s="15"/>
      <c r="AB47" s="15"/>
    </row>
    <row r="48" spans="2:28" x14ac:dyDescent="0.3">
      <c r="B48" s="1" t="s">
        <v>98</v>
      </c>
      <c r="P48" s="15"/>
      <c r="Q48" s="15"/>
      <c r="R48" s="15"/>
      <c r="S48" s="15"/>
      <c r="T48" s="15"/>
      <c r="U48" s="15"/>
      <c r="V48" s="15"/>
      <c r="W48" s="15"/>
      <c r="X48" s="15"/>
      <c r="Y48" s="15"/>
      <c r="Z48" s="15"/>
      <c r="AA48" s="15"/>
      <c r="AB48" s="15"/>
    </row>
    <row r="49" spans="2:29" x14ac:dyDescent="0.3">
      <c r="B49" s="11"/>
      <c r="N49" s="28"/>
      <c r="O49" s="26"/>
      <c r="P49" s="26"/>
      <c r="Q49" s="26"/>
      <c r="R49" s="26"/>
      <c r="S49" s="26"/>
      <c r="T49" s="26"/>
      <c r="U49" s="26"/>
      <c r="V49" s="26"/>
      <c r="W49" s="26"/>
      <c r="X49" s="26"/>
      <c r="Y49" s="26"/>
      <c r="Z49" s="26"/>
      <c r="AA49" s="26"/>
      <c r="AB49" s="26"/>
      <c r="AC49" s="28"/>
    </row>
    <row r="50" spans="2:29" x14ac:dyDescent="0.3">
      <c r="B50" s="11"/>
      <c r="N50" s="28"/>
      <c r="O50" s="14"/>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N54" s="28"/>
      <c r="O54" s="15"/>
      <c r="P54" s="26"/>
      <c r="Q54" s="26"/>
      <c r="R54" s="26"/>
      <c r="S54" s="26"/>
      <c r="T54" s="26"/>
      <c r="U54" s="26"/>
      <c r="V54" s="26"/>
      <c r="W54" s="26"/>
      <c r="X54" s="26"/>
      <c r="Y54" s="26"/>
      <c r="Z54" s="26"/>
      <c r="AA54" s="26"/>
      <c r="AB54" s="26"/>
      <c r="AC54" s="28"/>
    </row>
    <row r="55" spans="2:29" x14ac:dyDescent="0.3">
      <c r="B55" s="11"/>
      <c r="M55" s="30"/>
      <c r="N55" s="28"/>
      <c r="O55" s="27"/>
      <c r="P55" s="26"/>
      <c r="Q55" s="26"/>
      <c r="R55" s="26"/>
      <c r="S55" s="26"/>
      <c r="T55" s="26"/>
      <c r="U55" s="26"/>
      <c r="V55" s="26"/>
      <c r="W55" s="26"/>
      <c r="X55" s="26"/>
      <c r="Y55" s="26"/>
      <c r="Z55" s="26"/>
      <c r="AA55" s="26"/>
      <c r="AB55" s="26"/>
      <c r="AC55" s="28"/>
    </row>
    <row r="56" spans="2:29" x14ac:dyDescent="0.3">
      <c r="O56" s="27"/>
      <c r="P56" s="26"/>
      <c r="Q56" s="26"/>
      <c r="R56" s="26"/>
      <c r="S56" s="26"/>
      <c r="T56" s="26"/>
      <c r="U56" s="26"/>
      <c r="V56" s="26"/>
      <c r="W56" s="26"/>
      <c r="X56" s="26"/>
      <c r="Y56" s="26"/>
      <c r="Z56" s="26"/>
      <c r="AA56" s="26"/>
      <c r="AB56" s="26"/>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35"/>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N60" s="28"/>
      <c r="O60" s="29"/>
      <c r="P60" s="28"/>
      <c r="Q60" s="28"/>
      <c r="R60" s="28"/>
      <c r="S60" s="28"/>
      <c r="T60" s="28"/>
      <c r="U60" s="28"/>
      <c r="V60" s="28"/>
      <c r="W60" s="28"/>
      <c r="X60" s="28"/>
      <c r="Y60" s="28"/>
      <c r="Z60" s="28"/>
      <c r="AA60" s="28"/>
      <c r="AB60" s="28"/>
      <c r="AC60" s="28"/>
    </row>
    <row r="61" spans="2:29" x14ac:dyDescent="0.3">
      <c r="O61" s="11"/>
    </row>
    <row r="63" spans="2:29" x14ac:dyDescent="0.3">
      <c r="O63" s="11"/>
    </row>
    <row r="64" spans="2:29" x14ac:dyDescent="0.3">
      <c r="O64" s="11"/>
    </row>
    <row r="67" spans="2:15" x14ac:dyDescent="0.3">
      <c r="O67" s="8"/>
    </row>
    <row r="75" spans="2:15" x14ac:dyDescent="0.3">
      <c r="B75" s="1"/>
    </row>
    <row r="76" spans="2:15" x14ac:dyDescent="0.3">
      <c r="B76" s="65"/>
      <c r="C76" s="65"/>
      <c r="D76" s="65"/>
      <c r="E76" s="65"/>
      <c r="F76" s="65"/>
      <c r="G76" s="65"/>
      <c r="H76" s="65"/>
      <c r="I76" s="65"/>
      <c r="J76" s="65"/>
      <c r="K76" s="65"/>
      <c r="L76" s="65"/>
      <c r="N76" s="8"/>
    </row>
    <row r="77" spans="2:15" x14ac:dyDescent="0.3">
      <c r="C77" s="23"/>
    </row>
    <row r="78" spans="2:15" x14ac:dyDescent="0.3">
      <c r="C78" s="23"/>
    </row>
    <row r="79" spans="2:15" x14ac:dyDescent="0.3">
      <c r="C79" s="23"/>
    </row>
    <row r="80" spans="2:15" x14ac:dyDescent="0.3">
      <c r="C80" s="23"/>
    </row>
    <row r="81" spans="3:3" x14ac:dyDescent="0.3">
      <c r="C81" s="23"/>
    </row>
  </sheetData>
  <mergeCells count="1">
    <mergeCell ref="B76:L76"/>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6B2A-80FA-4442-BE38-888627DCFD89}">
  <dimension ref="B3:AG81"/>
  <sheetViews>
    <sheetView showGridLines="0" topLeftCell="A17" zoomScale="70" zoomScaleNormal="70" workbookViewId="0">
      <selection activeCell="K25" sqref="K25"/>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 min="25" max="25" width="13.125" customWidth="1"/>
  </cols>
  <sheetData>
    <row r="3" spans="2:33" x14ac:dyDescent="0.3">
      <c r="B3" s="1" t="s">
        <v>80</v>
      </c>
      <c r="O3" s="1" t="s">
        <v>97</v>
      </c>
    </row>
    <row r="15" spans="2:33" x14ac:dyDescent="0.3">
      <c r="AE15" t="s">
        <v>232</v>
      </c>
      <c r="AF15" t="s">
        <v>233</v>
      </c>
      <c r="AG15" t="s">
        <v>234</v>
      </c>
    </row>
    <row r="16" spans="2:33" x14ac:dyDescent="0.3">
      <c r="AF16">
        <v>712</v>
      </c>
      <c r="AG16">
        <v>162.15</v>
      </c>
    </row>
    <row r="17" spans="2:33" x14ac:dyDescent="0.3">
      <c r="AD17">
        <v>670</v>
      </c>
    </row>
    <row r="18" spans="2:33" x14ac:dyDescent="0.3">
      <c r="AD18" t="s">
        <v>227</v>
      </c>
      <c r="AE18">
        <v>745</v>
      </c>
      <c r="AF18">
        <f>AE18-AF16</f>
        <v>33</v>
      </c>
      <c r="AG18" s="37" t="s">
        <v>236</v>
      </c>
    </row>
    <row r="19" spans="2:33" x14ac:dyDescent="0.3">
      <c r="AD19" t="s">
        <v>228</v>
      </c>
      <c r="AE19">
        <v>1270</v>
      </c>
      <c r="AF19">
        <f>AE19/7.45</f>
        <v>170.46979865771812</v>
      </c>
      <c r="AG19" s="37" t="s">
        <v>235</v>
      </c>
    </row>
    <row r="20" spans="2:33" x14ac:dyDescent="0.3">
      <c r="AD20" t="s">
        <v>229</v>
      </c>
      <c r="AE20">
        <v>750</v>
      </c>
      <c r="AF20">
        <f>AE20-AF16</f>
        <v>38</v>
      </c>
      <c r="AG20" s="37" t="s">
        <v>237</v>
      </c>
    </row>
    <row r="21" spans="2:33" x14ac:dyDescent="0.3">
      <c r="C21" s="32"/>
      <c r="D21" s="33"/>
      <c r="E21" s="33"/>
      <c r="AD21" t="s">
        <v>230</v>
      </c>
      <c r="AE21">
        <v>680</v>
      </c>
      <c r="AG21" s="38"/>
    </row>
    <row r="22" spans="2:33" ht="66" x14ac:dyDescent="0.3">
      <c r="B22" s="4"/>
      <c r="C22" s="34">
        <v>46132</v>
      </c>
      <c r="D22" s="34" t="s">
        <v>226</v>
      </c>
      <c r="E22" s="34">
        <v>46146</v>
      </c>
      <c r="F22" s="31" t="s">
        <v>135</v>
      </c>
      <c r="H22" s="9"/>
      <c r="J22" s="9"/>
      <c r="O22" s="6" t="s">
        <v>4</v>
      </c>
      <c r="P22" s="5">
        <v>46132</v>
      </c>
      <c r="Q22" s="5">
        <v>46140</v>
      </c>
      <c r="R22" s="5">
        <v>46147</v>
      </c>
      <c r="S22" s="7" t="s">
        <v>8</v>
      </c>
      <c r="AD22" t="s">
        <v>231</v>
      </c>
      <c r="AE22">
        <v>1400</v>
      </c>
      <c r="AF22">
        <f>AE22/7.45</f>
        <v>187.91946308724832</v>
      </c>
      <c r="AG22" s="37" t="s">
        <v>242</v>
      </c>
    </row>
    <row r="23" spans="2:33" x14ac:dyDescent="0.3">
      <c r="B23" s="4" t="s">
        <v>21</v>
      </c>
      <c r="C23" s="19">
        <v>30</v>
      </c>
      <c r="D23" s="19">
        <v>120</v>
      </c>
      <c r="E23" s="19">
        <v>200</v>
      </c>
      <c r="F23" s="19">
        <v>200</v>
      </c>
      <c r="H23" s="10"/>
      <c r="J23" s="1"/>
      <c r="O23" s="6" t="s">
        <v>1</v>
      </c>
      <c r="P23" s="2">
        <v>780</v>
      </c>
      <c r="Q23" s="2">
        <v>790</v>
      </c>
      <c r="R23" s="44">
        <v>986</v>
      </c>
      <c r="S23" s="3" t="s">
        <v>15</v>
      </c>
      <c r="AD23" t="s">
        <v>238</v>
      </c>
      <c r="AE23">
        <v>790</v>
      </c>
      <c r="AF23">
        <f>AE23-AF16</f>
        <v>78</v>
      </c>
      <c r="AG23" s="37" t="s">
        <v>239</v>
      </c>
    </row>
    <row r="24" spans="2:33" x14ac:dyDescent="0.3">
      <c r="B24" s="4" t="s">
        <v>5</v>
      </c>
      <c r="C24" s="19">
        <v>30</v>
      </c>
      <c r="D24" s="19">
        <v>80</v>
      </c>
      <c r="E24" s="19">
        <v>220</v>
      </c>
      <c r="F24" s="19">
        <v>200</v>
      </c>
      <c r="H24" s="10"/>
      <c r="J24" s="1"/>
      <c r="O24" s="6" t="s">
        <v>0</v>
      </c>
      <c r="P24" s="2">
        <v>652</v>
      </c>
      <c r="Q24" s="2">
        <v>745</v>
      </c>
      <c r="R24" s="44">
        <v>832</v>
      </c>
      <c r="S24" s="3" t="s">
        <v>15</v>
      </c>
      <c r="AD24" t="s">
        <v>240</v>
      </c>
      <c r="AE24" s="15">
        <v>1360</v>
      </c>
      <c r="AF24" s="15">
        <f>AE24/7.45</f>
        <v>182.5503355704698</v>
      </c>
      <c r="AG24" s="39" t="s">
        <v>241</v>
      </c>
    </row>
    <row r="25" spans="2:33" x14ac:dyDescent="0.3">
      <c r="B25" s="4" t="s">
        <v>6</v>
      </c>
      <c r="C25" s="19">
        <v>30</v>
      </c>
      <c r="D25" s="19">
        <v>100</v>
      </c>
      <c r="E25" s="19"/>
      <c r="F25" s="19">
        <v>200</v>
      </c>
      <c r="G25" t="s">
        <v>263</v>
      </c>
      <c r="H25" s="1"/>
      <c r="J25" s="1"/>
      <c r="O25" s="6" t="s">
        <v>2</v>
      </c>
      <c r="P25" s="2">
        <v>1230</v>
      </c>
      <c r="Q25" s="2">
        <v>1240</v>
      </c>
      <c r="R25" s="44">
        <v>1220</v>
      </c>
      <c r="S25" s="3" t="s">
        <v>15</v>
      </c>
    </row>
    <row r="26" spans="2:33" x14ac:dyDescent="0.3">
      <c r="B26" s="4" t="s">
        <v>7</v>
      </c>
      <c r="C26" s="19"/>
      <c r="D26" s="19">
        <v>90</v>
      </c>
      <c r="E26" s="19"/>
      <c r="F26" s="19"/>
      <c r="H26" s="10"/>
      <c r="J26" s="10"/>
      <c r="O26" s="6" t="s">
        <v>3</v>
      </c>
      <c r="P26" s="2">
        <v>703</v>
      </c>
      <c r="Q26" s="2">
        <v>750</v>
      </c>
      <c r="R26" s="44">
        <v>800</v>
      </c>
      <c r="S26" s="3"/>
    </row>
    <row r="27" spans="2:33" x14ac:dyDescent="0.3">
      <c r="O27" s="6"/>
      <c r="P27" s="2"/>
      <c r="Q27" s="2"/>
      <c r="R27" s="2"/>
      <c r="S27" s="2"/>
    </row>
    <row r="28" spans="2:33" x14ac:dyDescent="0.3">
      <c r="B28" s="12" t="s">
        <v>16</v>
      </c>
    </row>
    <row r="29" spans="2:33" ht="21" customHeight="1" x14ac:dyDescent="0.3">
      <c r="B29" s="11" t="s">
        <v>277</v>
      </c>
      <c r="O29" s="14" t="s">
        <v>176</v>
      </c>
      <c r="P29" s="15"/>
      <c r="Q29" s="15"/>
      <c r="R29" s="15"/>
      <c r="S29" s="15"/>
      <c r="T29" s="15"/>
      <c r="U29" s="15"/>
      <c r="V29" s="15"/>
      <c r="W29" s="15"/>
      <c r="X29" s="15"/>
    </row>
    <row r="30" spans="2:33" ht="21" customHeight="1" x14ac:dyDescent="0.3">
      <c r="B30" s="43" t="s">
        <v>261</v>
      </c>
      <c r="O30" s="16" t="s">
        <v>50</v>
      </c>
      <c r="P30" s="15"/>
      <c r="Q30" s="15"/>
      <c r="R30" s="15"/>
      <c r="S30" s="15"/>
      <c r="T30" s="15"/>
      <c r="U30" s="15"/>
      <c r="V30" s="15"/>
      <c r="W30" s="15"/>
      <c r="X30" s="15"/>
      <c r="Y30" s="15"/>
      <c r="Z30" s="15"/>
      <c r="AA30" s="15"/>
      <c r="AB30" s="15"/>
    </row>
    <row r="31" spans="2:33" x14ac:dyDescent="0.3">
      <c r="B31" s="11" t="s">
        <v>244</v>
      </c>
      <c r="O31" s="17" t="s">
        <v>268</v>
      </c>
      <c r="P31" s="15"/>
      <c r="Q31" s="15"/>
      <c r="R31" s="15"/>
      <c r="S31" s="15"/>
      <c r="T31" s="15"/>
      <c r="U31" s="15"/>
      <c r="V31" s="15"/>
      <c r="W31" s="15"/>
      <c r="X31" s="15"/>
      <c r="Y31" s="15"/>
      <c r="Z31" s="15"/>
      <c r="AA31" s="15"/>
      <c r="AB31" s="15"/>
    </row>
    <row r="32" spans="2:33" x14ac:dyDescent="0.3">
      <c r="B32" s="11" t="s">
        <v>262</v>
      </c>
      <c r="O32" s="17" t="s">
        <v>269</v>
      </c>
      <c r="P32" s="15"/>
      <c r="Q32" s="15"/>
      <c r="R32" s="15"/>
      <c r="S32" s="15"/>
      <c r="T32" s="15"/>
      <c r="U32" s="15"/>
      <c r="V32" s="15"/>
      <c r="W32" s="15"/>
      <c r="X32" s="15"/>
      <c r="Y32" s="15"/>
      <c r="Z32" s="15"/>
      <c r="AA32" s="15"/>
      <c r="AB32" s="15"/>
    </row>
    <row r="33" spans="2:28" ht="13.9" customHeight="1" x14ac:dyDescent="0.3">
      <c r="B33" s="11"/>
      <c r="O33" s="17" t="s">
        <v>270</v>
      </c>
      <c r="P33" s="15"/>
      <c r="Q33" s="15"/>
      <c r="R33" s="15"/>
      <c r="S33" s="15"/>
      <c r="T33" s="15"/>
      <c r="U33" s="15"/>
      <c r="V33" s="15"/>
      <c r="W33" s="15"/>
      <c r="X33" s="15"/>
      <c r="Y33" s="15"/>
      <c r="Z33" s="15"/>
      <c r="AA33" s="15"/>
      <c r="AB33" s="15"/>
    </row>
    <row r="34" spans="2:28" x14ac:dyDescent="0.3">
      <c r="O34" s="14" t="s">
        <v>40</v>
      </c>
      <c r="P34" s="15"/>
      <c r="Q34" s="15"/>
      <c r="R34" s="15"/>
      <c r="S34" s="15"/>
      <c r="T34" s="15"/>
      <c r="U34" s="15"/>
      <c r="V34" s="15"/>
      <c r="W34" s="15"/>
      <c r="X34" s="15"/>
      <c r="Y34" s="15"/>
      <c r="Z34" s="15"/>
      <c r="AA34" s="15"/>
      <c r="AB34" s="15"/>
    </row>
    <row r="35" spans="2:28" x14ac:dyDescent="0.3">
      <c r="B35" s="12" t="s">
        <v>260</v>
      </c>
      <c r="O35" s="17" t="s">
        <v>271</v>
      </c>
      <c r="P35" s="15"/>
      <c r="Q35" s="15"/>
      <c r="R35" s="15"/>
      <c r="S35" s="15"/>
      <c r="T35" s="15"/>
      <c r="U35" s="15"/>
      <c r="V35" s="15"/>
      <c r="W35" s="15"/>
      <c r="X35" s="15"/>
      <c r="Y35" s="15"/>
      <c r="Z35" s="15"/>
      <c r="AA35" s="15"/>
      <c r="AB35" s="15"/>
    </row>
    <row r="36" spans="2:28" x14ac:dyDescent="0.3">
      <c r="B36" s="20" t="s">
        <v>264</v>
      </c>
      <c r="C36" s="21"/>
      <c r="O36" s="17" t="s">
        <v>272</v>
      </c>
      <c r="P36" s="15"/>
      <c r="Q36" s="15"/>
      <c r="R36" s="15"/>
      <c r="S36" s="15"/>
      <c r="T36" s="15"/>
      <c r="U36" s="15"/>
      <c r="V36" s="15"/>
      <c r="W36" s="15"/>
      <c r="X36" s="15"/>
      <c r="Y36" s="15"/>
      <c r="Z36" s="15"/>
      <c r="AA36" s="15"/>
      <c r="AB36" s="15"/>
    </row>
    <row r="37" spans="2:28" x14ac:dyDescent="0.3">
      <c r="B37" s="20" t="s">
        <v>265</v>
      </c>
      <c r="C37" s="21"/>
      <c r="O37" s="17" t="s">
        <v>273</v>
      </c>
      <c r="P37" s="15"/>
      <c r="Q37" s="15"/>
      <c r="R37" s="15"/>
      <c r="S37" s="15"/>
      <c r="T37" s="15"/>
      <c r="U37" s="15"/>
      <c r="V37" s="15"/>
      <c r="W37" s="15"/>
      <c r="X37" s="15"/>
      <c r="Y37" s="15"/>
      <c r="Z37" s="15"/>
      <c r="AA37" s="15"/>
      <c r="AB37" s="15"/>
    </row>
    <row r="38" spans="2:28" x14ac:dyDescent="0.3">
      <c r="B38" s="20" t="s">
        <v>255</v>
      </c>
      <c r="C38" s="21"/>
      <c r="O38" s="14" t="s">
        <v>44</v>
      </c>
      <c r="P38" s="15"/>
      <c r="Q38" s="15"/>
      <c r="R38" s="15"/>
      <c r="S38" s="15"/>
      <c r="T38" s="15"/>
      <c r="U38" s="15"/>
      <c r="V38" s="15"/>
      <c r="W38" s="15"/>
      <c r="X38" s="15"/>
      <c r="Y38" s="15"/>
      <c r="Z38" s="15"/>
      <c r="AA38" s="15"/>
      <c r="AB38" s="15"/>
    </row>
    <row r="39" spans="2:28" x14ac:dyDescent="0.3">
      <c r="B39" s="20" t="s">
        <v>101</v>
      </c>
      <c r="C39" s="21"/>
      <c r="O39" s="17" t="s">
        <v>274</v>
      </c>
      <c r="P39" s="15"/>
      <c r="Q39" s="15"/>
      <c r="R39" s="15"/>
      <c r="S39" s="15"/>
      <c r="T39" s="15"/>
      <c r="U39" s="15"/>
      <c r="V39" s="15"/>
      <c r="W39" s="15"/>
      <c r="X39" s="15"/>
      <c r="Y39" s="15"/>
      <c r="Z39" s="15"/>
      <c r="AA39" s="15"/>
      <c r="AB39" s="15"/>
    </row>
    <row r="40" spans="2:28" ht="18" customHeight="1" x14ac:dyDescent="0.3">
      <c r="B40" s="40" t="s">
        <v>266</v>
      </c>
      <c r="C40" s="41"/>
      <c r="O40" s="17" t="s">
        <v>275</v>
      </c>
      <c r="P40" s="15"/>
      <c r="Q40" s="15"/>
      <c r="R40" s="15"/>
      <c r="S40" s="15"/>
      <c r="T40" s="15"/>
      <c r="U40" s="15"/>
      <c r="V40" s="15"/>
      <c r="W40" s="15"/>
      <c r="X40" s="15"/>
      <c r="Y40" s="15"/>
      <c r="Z40" s="15"/>
      <c r="AA40" s="15"/>
      <c r="AB40" s="15"/>
    </row>
    <row r="41" spans="2:28" ht="12.6" customHeight="1" x14ac:dyDescent="0.3">
      <c r="B41" s="42"/>
      <c r="C41" s="41"/>
      <c r="O41" s="17"/>
      <c r="P41" s="15"/>
      <c r="Q41" s="15"/>
      <c r="R41" s="15"/>
      <c r="S41" s="15"/>
      <c r="T41" s="15"/>
      <c r="U41" s="15"/>
      <c r="V41" s="15"/>
      <c r="W41" s="15"/>
      <c r="X41" s="15"/>
      <c r="Y41" s="15"/>
      <c r="Z41" s="15"/>
      <c r="AA41" s="15"/>
      <c r="AB41" s="15"/>
    </row>
    <row r="42" spans="2:28" x14ac:dyDescent="0.3">
      <c r="O42" s="14" t="s">
        <v>47</v>
      </c>
      <c r="P42" s="15"/>
      <c r="Q42" s="15"/>
      <c r="R42" s="15"/>
      <c r="S42" s="15"/>
      <c r="T42" s="15"/>
      <c r="U42" s="15"/>
      <c r="V42" s="15"/>
      <c r="W42" s="15"/>
      <c r="X42" s="15"/>
      <c r="Y42" s="15"/>
      <c r="Z42" s="15"/>
      <c r="AA42" s="15"/>
      <c r="AB42" s="15"/>
    </row>
    <row r="43" spans="2:28" x14ac:dyDescent="0.3">
      <c r="B43" s="12" t="s">
        <v>17</v>
      </c>
      <c r="C43" s="12"/>
      <c r="D43" s="12"/>
      <c r="E43" s="12"/>
      <c r="F43" s="12"/>
      <c r="G43" s="12"/>
      <c r="H43" s="12"/>
      <c r="I43" s="12"/>
      <c r="J43" s="12"/>
      <c r="K43" s="12"/>
      <c r="L43" s="12"/>
      <c r="M43" s="12"/>
      <c r="N43" s="12"/>
      <c r="O43" s="17" t="s">
        <v>248</v>
      </c>
      <c r="P43" s="15"/>
      <c r="Q43" s="15"/>
      <c r="R43" s="15"/>
      <c r="S43" s="15"/>
      <c r="T43" s="15"/>
      <c r="U43" s="15"/>
      <c r="V43" s="15"/>
      <c r="W43" s="15"/>
      <c r="X43" s="15"/>
      <c r="Y43" s="15"/>
      <c r="Z43" s="15"/>
      <c r="AA43" s="15"/>
      <c r="AB43" s="15"/>
    </row>
    <row r="44" spans="2:28" x14ac:dyDescent="0.3">
      <c r="B44" s="20" t="s">
        <v>267</v>
      </c>
      <c r="C44" s="21"/>
      <c r="D44" s="21"/>
      <c r="E44" s="21"/>
      <c r="F44" s="21"/>
      <c r="G44" s="21"/>
      <c r="H44" s="21"/>
      <c r="I44" s="21"/>
      <c r="J44" s="21"/>
      <c r="K44" s="21"/>
      <c r="L44" s="21"/>
      <c r="M44" s="21"/>
      <c r="N44" s="21"/>
      <c r="O44" s="17" t="s">
        <v>276</v>
      </c>
      <c r="P44" s="15"/>
      <c r="Q44" s="15"/>
      <c r="R44" s="15"/>
      <c r="S44" s="15"/>
      <c r="T44" s="15"/>
      <c r="U44" s="15"/>
      <c r="V44" s="15"/>
      <c r="W44" s="15"/>
      <c r="X44" s="15"/>
      <c r="Y44" s="15"/>
      <c r="Z44" s="15"/>
      <c r="AA44" s="15"/>
      <c r="AB44" s="15"/>
    </row>
    <row r="45" spans="2:28" x14ac:dyDescent="0.3">
      <c r="B45" s="20" t="s">
        <v>257</v>
      </c>
      <c r="C45" s="21"/>
      <c r="D45" s="21"/>
      <c r="E45" s="21"/>
      <c r="F45" s="21"/>
      <c r="G45" s="21"/>
      <c r="H45" s="21"/>
      <c r="I45" s="21"/>
      <c r="J45" s="21"/>
      <c r="K45" s="21"/>
      <c r="L45" s="21"/>
      <c r="M45" s="21"/>
      <c r="N45" s="21"/>
      <c r="P45" s="15"/>
      <c r="Q45" s="15"/>
      <c r="R45" s="15"/>
      <c r="S45" s="15"/>
      <c r="T45" s="15"/>
      <c r="U45" s="15"/>
      <c r="V45" s="15"/>
      <c r="W45" s="15"/>
      <c r="X45" s="15"/>
      <c r="Y45" s="15"/>
      <c r="Z45" s="15"/>
      <c r="AA45" s="15"/>
      <c r="AB45" s="15"/>
    </row>
    <row r="46" spans="2:28" x14ac:dyDescent="0.3">
      <c r="B46" s="20" t="s">
        <v>258</v>
      </c>
      <c r="C46" s="41"/>
      <c r="D46" s="41"/>
      <c r="E46" s="41"/>
      <c r="F46" s="41"/>
      <c r="G46" s="41"/>
      <c r="H46" s="41"/>
      <c r="I46" s="41"/>
      <c r="J46" s="41"/>
      <c r="K46" s="41"/>
      <c r="L46" s="41"/>
      <c r="M46" s="41"/>
      <c r="N46" s="41"/>
      <c r="O46" s="17"/>
      <c r="P46" s="15"/>
      <c r="Q46" s="15"/>
      <c r="R46" s="15"/>
      <c r="S46" s="15"/>
      <c r="T46" s="15"/>
      <c r="U46" s="15"/>
      <c r="V46" s="15"/>
      <c r="W46" s="15"/>
      <c r="X46" s="15"/>
      <c r="Y46" s="15"/>
      <c r="Z46" s="15"/>
      <c r="AA46" s="15"/>
      <c r="AB46" s="15"/>
    </row>
    <row r="47" spans="2:28" x14ac:dyDescent="0.3">
      <c r="O47" s="17"/>
      <c r="P47" s="15"/>
      <c r="Q47" s="15"/>
      <c r="R47" s="15"/>
      <c r="S47" s="15"/>
      <c r="T47" s="15"/>
      <c r="U47" s="15"/>
      <c r="V47" s="15"/>
      <c r="W47" s="15"/>
      <c r="X47" s="15"/>
      <c r="Y47" s="15"/>
      <c r="Z47" s="15"/>
      <c r="AA47" s="15"/>
      <c r="AB47" s="15"/>
    </row>
    <row r="48" spans="2:28" x14ac:dyDescent="0.3">
      <c r="B48" s="1" t="s">
        <v>98</v>
      </c>
      <c r="P48" s="15"/>
      <c r="Q48" s="15"/>
      <c r="R48" s="15"/>
      <c r="S48" s="15"/>
      <c r="T48" s="15"/>
      <c r="U48" s="15"/>
      <c r="V48" s="15"/>
      <c r="W48" s="15"/>
      <c r="X48" s="15"/>
      <c r="Y48" s="15"/>
      <c r="Z48" s="15"/>
      <c r="AA48" s="15"/>
      <c r="AB48" s="15"/>
    </row>
    <row r="49" spans="2:29" x14ac:dyDescent="0.3">
      <c r="B49" s="11"/>
      <c r="N49" s="28"/>
      <c r="O49" s="26"/>
      <c r="P49" s="26"/>
      <c r="Q49" s="26"/>
      <c r="R49" s="26"/>
      <c r="S49" s="26"/>
      <c r="T49" s="26"/>
      <c r="U49" s="26"/>
      <c r="V49" s="26"/>
      <c r="W49" s="26"/>
      <c r="X49" s="26"/>
      <c r="Y49" s="26"/>
      <c r="Z49" s="26"/>
      <c r="AA49" s="26"/>
      <c r="AB49" s="26"/>
      <c r="AC49" s="28"/>
    </row>
    <row r="50" spans="2:29" x14ac:dyDescent="0.3">
      <c r="B50" s="11"/>
      <c r="N50" s="28"/>
      <c r="O50" s="14"/>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N54" s="28"/>
      <c r="O54" s="15"/>
      <c r="P54" s="26"/>
      <c r="Q54" s="26"/>
      <c r="R54" s="26"/>
      <c r="S54" s="26"/>
      <c r="T54" s="26"/>
      <c r="U54" s="26"/>
      <c r="V54" s="26"/>
      <c r="W54" s="26"/>
      <c r="X54" s="26"/>
      <c r="Y54" s="26"/>
      <c r="Z54" s="26"/>
      <c r="AA54" s="26"/>
      <c r="AB54" s="26"/>
      <c r="AC54" s="28"/>
    </row>
    <row r="55" spans="2:29" x14ac:dyDescent="0.3">
      <c r="B55" s="11"/>
      <c r="M55" s="30"/>
      <c r="N55" s="28"/>
      <c r="O55" s="27"/>
      <c r="P55" s="26"/>
      <c r="Q55" s="26"/>
      <c r="R55" s="26"/>
      <c r="S55" s="26"/>
      <c r="T55" s="26"/>
      <c r="U55" s="26"/>
      <c r="V55" s="26"/>
      <c r="W55" s="26"/>
      <c r="X55" s="26"/>
      <c r="Y55" s="26"/>
      <c r="Z55" s="26"/>
      <c r="AA55" s="26"/>
      <c r="AB55" s="26"/>
      <c r="AC55" s="28"/>
    </row>
    <row r="56" spans="2:29" x14ac:dyDescent="0.3">
      <c r="O56" s="27"/>
      <c r="P56" s="26"/>
      <c r="Q56" s="26"/>
      <c r="R56" s="26"/>
      <c r="S56" s="26"/>
      <c r="T56" s="26"/>
      <c r="U56" s="26"/>
      <c r="V56" s="26"/>
      <c r="W56" s="26"/>
      <c r="X56" s="26"/>
      <c r="Y56" s="26"/>
      <c r="Z56" s="26"/>
      <c r="AA56" s="26"/>
      <c r="AB56" s="26"/>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35"/>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N60" s="28"/>
      <c r="O60" s="29"/>
      <c r="P60" s="28"/>
      <c r="Q60" s="28"/>
      <c r="R60" s="28"/>
      <c r="S60" s="28"/>
      <c r="T60" s="28"/>
      <c r="U60" s="28"/>
      <c r="V60" s="28"/>
      <c r="W60" s="28"/>
      <c r="X60" s="28"/>
      <c r="Y60" s="28"/>
      <c r="Z60" s="28"/>
      <c r="AA60" s="28"/>
      <c r="AB60" s="28"/>
      <c r="AC60" s="28"/>
    </row>
    <row r="61" spans="2:29" x14ac:dyDescent="0.3">
      <c r="O61" s="11"/>
    </row>
    <row r="63" spans="2:29" x14ac:dyDescent="0.3">
      <c r="O63" s="11"/>
    </row>
    <row r="64" spans="2:29" x14ac:dyDescent="0.3">
      <c r="O64" s="11"/>
    </row>
    <row r="67" spans="2:15" x14ac:dyDescent="0.3">
      <c r="O67" s="8"/>
    </row>
    <row r="75" spans="2:15" x14ac:dyDescent="0.3">
      <c r="B75" s="1"/>
    </row>
    <row r="76" spans="2:15" x14ac:dyDescent="0.3">
      <c r="B76" s="65"/>
      <c r="C76" s="65"/>
      <c r="D76" s="65"/>
      <c r="E76" s="65"/>
      <c r="F76" s="65"/>
      <c r="G76" s="65"/>
      <c r="H76" s="65"/>
      <c r="I76" s="65"/>
      <c r="J76" s="65"/>
      <c r="K76" s="65"/>
      <c r="L76" s="65"/>
      <c r="N76" s="8"/>
    </row>
    <row r="77" spans="2:15" x14ac:dyDescent="0.3">
      <c r="C77" s="23"/>
    </row>
    <row r="78" spans="2:15" x14ac:dyDescent="0.3">
      <c r="C78" s="23"/>
    </row>
    <row r="79" spans="2:15" x14ac:dyDescent="0.3">
      <c r="C79" s="23"/>
    </row>
    <row r="80" spans="2:15" x14ac:dyDescent="0.3">
      <c r="C80" s="23"/>
    </row>
    <row r="81" spans="3:3" x14ac:dyDescent="0.3">
      <c r="C81" s="23"/>
    </row>
  </sheetData>
  <mergeCells count="1">
    <mergeCell ref="B76:L76"/>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38E0-2C74-4EAE-8383-5411FC729DDE}">
  <dimension ref="B3:AG81"/>
  <sheetViews>
    <sheetView showGridLines="0" topLeftCell="A6" zoomScale="70" zoomScaleNormal="70" workbookViewId="0">
      <selection activeCell="B29" sqref="B29"/>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 min="25" max="25" width="13.125" customWidth="1"/>
  </cols>
  <sheetData>
    <row r="3" spans="2:33" x14ac:dyDescent="0.3">
      <c r="B3" s="1" t="s">
        <v>80</v>
      </c>
      <c r="O3" s="1" t="s">
        <v>97</v>
      </c>
    </row>
    <row r="15" spans="2:33" x14ac:dyDescent="0.3">
      <c r="AE15" t="s">
        <v>232</v>
      </c>
      <c r="AF15" t="s">
        <v>233</v>
      </c>
      <c r="AG15" t="s">
        <v>234</v>
      </c>
    </row>
    <row r="16" spans="2:33" x14ac:dyDescent="0.3">
      <c r="AF16">
        <v>712</v>
      </c>
      <c r="AG16">
        <v>162.15</v>
      </c>
    </row>
    <row r="17" spans="2:33" x14ac:dyDescent="0.3">
      <c r="AD17">
        <v>670</v>
      </c>
    </row>
    <row r="18" spans="2:33" x14ac:dyDescent="0.3">
      <c r="AD18" t="s">
        <v>227</v>
      </c>
      <c r="AE18">
        <v>745</v>
      </c>
      <c r="AF18">
        <f>AE18-AF16</f>
        <v>33</v>
      </c>
      <c r="AG18" s="37" t="s">
        <v>236</v>
      </c>
    </row>
    <row r="19" spans="2:33" x14ac:dyDescent="0.3">
      <c r="AD19" t="s">
        <v>228</v>
      </c>
      <c r="AE19">
        <v>1270</v>
      </c>
      <c r="AF19">
        <f>AE19/7.45</f>
        <v>170.46979865771812</v>
      </c>
      <c r="AG19" s="37" t="s">
        <v>235</v>
      </c>
    </row>
    <row r="20" spans="2:33" x14ac:dyDescent="0.3">
      <c r="AD20" t="s">
        <v>229</v>
      </c>
      <c r="AE20">
        <v>750</v>
      </c>
      <c r="AF20">
        <f>AE20-AF16</f>
        <v>38</v>
      </c>
      <c r="AG20" s="37" t="s">
        <v>237</v>
      </c>
    </row>
    <row r="21" spans="2:33" x14ac:dyDescent="0.3">
      <c r="C21" s="32"/>
      <c r="D21" s="33"/>
      <c r="E21" s="33"/>
      <c r="AD21" t="s">
        <v>230</v>
      </c>
      <c r="AE21">
        <v>680</v>
      </c>
      <c r="AG21" s="38"/>
    </row>
    <row r="22" spans="2:33" ht="66" x14ac:dyDescent="0.3">
      <c r="B22" s="4"/>
      <c r="C22" s="34">
        <v>46125</v>
      </c>
      <c r="D22" s="34">
        <v>46132</v>
      </c>
      <c r="E22" s="34" t="s">
        <v>226</v>
      </c>
      <c r="F22" s="31" t="s">
        <v>135</v>
      </c>
      <c r="H22" s="9"/>
      <c r="J22" s="9"/>
      <c r="O22" s="6" t="s">
        <v>4</v>
      </c>
      <c r="P22" s="5">
        <v>46126</v>
      </c>
      <c r="Q22" s="5">
        <v>46132</v>
      </c>
      <c r="R22" s="5">
        <v>46140</v>
      </c>
      <c r="S22" s="7" t="s">
        <v>8</v>
      </c>
      <c r="AD22" t="s">
        <v>231</v>
      </c>
      <c r="AE22">
        <v>1400</v>
      </c>
      <c r="AF22">
        <f>AE22/7.45</f>
        <v>187.91946308724832</v>
      </c>
      <c r="AG22" s="37" t="s">
        <v>242</v>
      </c>
    </row>
    <row r="23" spans="2:33" x14ac:dyDescent="0.3">
      <c r="B23" s="4" t="s">
        <v>21</v>
      </c>
      <c r="C23" s="19">
        <v>70</v>
      </c>
      <c r="D23" s="19">
        <v>30</v>
      </c>
      <c r="E23" s="19">
        <v>120</v>
      </c>
      <c r="F23" s="19">
        <v>120</v>
      </c>
      <c r="H23" s="10"/>
      <c r="J23" s="1"/>
      <c r="O23" s="6" t="s">
        <v>1</v>
      </c>
      <c r="P23" s="2">
        <v>870</v>
      </c>
      <c r="Q23" s="2">
        <v>780</v>
      </c>
      <c r="R23" s="2">
        <v>790</v>
      </c>
      <c r="S23" s="3" t="s">
        <v>15</v>
      </c>
      <c r="AD23" t="s">
        <v>238</v>
      </c>
      <c r="AE23">
        <v>790</v>
      </c>
      <c r="AF23">
        <f>AE23-AF16</f>
        <v>78</v>
      </c>
      <c r="AG23" s="37" t="s">
        <v>239</v>
      </c>
    </row>
    <row r="24" spans="2:33" x14ac:dyDescent="0.3">
      <c r="B24" s="4" t="s">
        <v>5</v>
      </c>
      <c r="C24" s="19">
        <v>70</v>
      </c>
      <c r="D24" s="19">
        <v>30</v>
      </c>
      <c r="E24" s="19">
        <v>80</v>
      </c>
      <c r="F24" s="19">
        <v>100</v>
      </c>
      <c r="H24" s="10"/>
      <c r="J24" s="1"/>
      <c r="O24" s="6" t="s">
        <v>0</v>
      </c>
      <c r="P24" s="2">
        <v>768</v>
      </c>
      <c r="Q24" s="2">
        <v>652</v>
      </c>
      <c r="R24" s="2">
        <v>745</v>
      </c>
      <c r="S24" s="3" t="s">
        <v>15</v>
      </c>
      <c r="AD24" t="s">
        <v>240</v>
      </c>
      <c r="AE24" s="15">
        <v>1360</v>
      </c>
      <c r="AF24" s="15">
        <f>AE24/7.45</f>
        <v>182.5503355704698</v>
      </c>
      <c r="AG24" s="39" t="s">
        <v>241</v>
      </c>
    </row>
    <row r="25" spans="2:33" x14ac:dyDescent="0.3">
      <c r="B25" s="4" t="s">
        <v>6</v>
      </c>
      <c r="C25" s="19">
        <v>75</v>
      </c>
      <c r="D25" s="19">
        <v>30</v>
      </c>
      <c r="E25" s="19">
        <v>100</v>
      </c>
      <c r="F25" s="19">
        <v>100</v>
      </c>
      <c r="H25" s="1"/>
      <c r="J25" s="1"/>
      <c r="O25" s="6" t="s">
        <v>2</v>
      </c>
      <c r="P25" s="2">
        <v>1250</v>
      </c>
      <c r="Q25" s="2">
        <v>1230</v>
      </c>
      <c r="R25" s="2">
        <v>1240</v>
      </c>
      <c r="S25" s="3" t="s">
        <v>15</v>
      </c>
    </row>
    <row r="26" spans="2:33" x14ac:dyDescent="0.3">
      <c r="B26" s="4" t="s">
        <v>7</v>
      </c>
      <c r="C26" s="19"/>
      <c r="D26" s="19"/>
      <c r="E26" s="19">
        <v>90</v>
      </c>
      <c r="F26" s="19">
        <v>95</v>
      </c>
      <c r="H26" s="10"/>
      <c r="J26" s="10"/>
      <c r="O26" s="6" t="s">
        <v>3</v>
      </c>
      <c r="P26" s="2">
        <v>803</v>
      </c>
      <c r="Q26" s="36">
        <v>703</v>
      </c>
      <c r="R26" s="36">
        <v>750</v>
      </c>
      <c r="S26" s="3"/>
    </row>
    <row r="27" spans="2:33" x14ac:dyDescent="0.3">
      <c r="O27" s="6"/>
      <c r="P27" s="2"/>
      <c r="Q27" s="2"/>
      <c r="R27" s="2"/>
      <c r="S27" s="2"/>
    </row>
    <row r="28" spans="2:33" x14ac:dyDescent="0.3">
      <c r="B28" s="12" t="s">
        <v>16</v>
      </c>
    </row>
    <row r="29" spans="2:33" ht="21" customHeight="1" x14ac:dyDescent="0.3">
      <c r="B29" s="11" t="s">
        <v>243</v>
      </c>
      <c r="O29" s="14" t="s">
        <v>176</v>
      </c>
      <c r="P29" s="15"/>
      <c r="Q29" s="15"/>
      <c r="R29" s="15"/>
      <c r="S29" s="15"/>
      <c r="T29" s="15"/>
      <c r="U29" s="15"/>
      <c r="V29" s="15"/>
      <c r="W29" s="15"/>
      <c r="X29" s="15"/>
    </row>
    <row r="30" spans="2:33" ht="21" customHeight="1" x14ac:dyDescent="0.3">
      <c r="B30" s="43" t="s">
        <v>246</v>
      </c>
      <c r="O30" s="16" t="s">
        <v>50</v>
      </c>
      <c r="P30" s="15"/>
      <c r="Q30" s="15"/>
      <c r="R30" s="15"/>
      <c r="S30" s="15"/>
      <c r="T30" s="15"/>
      <c r="U30" s="15"/>
      <c r="V30" s="15"/>
      <c r="W30" s="15"/>
      <c r="X30" s="15"/>
      <c r="Y30" s="15"/>
      <c r="Z30" s="15"/>
      <c r="AA30" s="15"/>
      <c r="AB30" s="15"/>
    </row>
    <row r="31" spans="2:33" x14ac:dyDescent="0.3">
      <c r="B31" s="11" t="s">
        <v>244</v>
      </c>
      <c r="O31" s="17" t="s">
        <v>247</v>
      </c>
      <c r="P31" s="15"/>
      <c r="Q31" s="15"/>
      <c r="R31" s="15"/>
      <c r="S31" s="15"/>
      <c r="T31" s="15"/>
      <c r="U31" s="15"/>
      <c r="V31" s="15"/>
      <c r="W31" s="15"/>
      <c r="X31" s="15"/>
      <c r="Y31" s="15"/>
      <c r="Z31" s="15"/>
      <c r="AA31" s="15"/>
      <c r="AB31" s="15"/>
    </row>
    <row r="32" spans="2:33" x14ac:dyDescent="0.3">
      <c r="B32" s="11" t="s">
        <v>245</v>
      </c>
      <c r="O32" s="17" t="s">
        <v>250</v>
      </c>
      <c r="P32" s="15"/>
      <c r="Q32" s="15"/>
      <c r="R32" s="15"/>
      <c r="S32" s="15"/>
      <c r="T32" s="15"/>
      <c r="U32" s="15"/>
      <c r="V32" s="15"/>
      <c r="W32" s="15"/>
      <c r="X32" s="15"/>
      <c r="Y32" s="15"/>
      <c r="Z32" s="15"/>
      <c r="AA32" s="15"/>
      <c r="AB32" s="15"/>
    </row>
    <row r="33" spans="2:28" ht="13.9" customHeight="1" x14ac:dyDescent="0.3">
      <c r="B33" s="11"/>
      <c r="O33" s="17" t="s">
        <v>217</v>
      </c>
      <c r="P33" s="15"/>
      <c r="Q33" s="15"/>
      <c r="R33" s="15"/>
      <c r="S33" s="15"/>
      <c r="T33" s="15"/>
      <c r="U33" s="15"/>
      <c r="V33" s="15"/>
      <c r="W33" s="15"/>
      <c r="X33" s="15"/>
      <c r="Y33" s="15"/>
      <c r="Z33" s="15"/>
      <c r="AA33" s="15"/>
      <c r="AB33" s="15"/>
    </row>
    <row r="34" spans="2:28" x14ac:dyDescent="0.3">
      <c r="O34" s="14" t="s">
        <v>40</v>
      </c>
      <c r="P34" s="15"/>
      <c r="Q34" s="15"/>
      <c r="R34" s="15"/>
      <c r="S34" s="15"/>
      <c r="T34" s="15"/>
      <c r="U34" s="15"/>
      <c r="V34" s="15"/>
      <c r="W34" s="15"/>
      <c r="X34" s="15"/>
      <c r="Y34" s="15"/>
      <c r="Z34" s="15"/>
      <c r="AA34" s="15"/>
      <c r="AB34" s="15"/>
    </row>
    <row r="35" spans="2:28" x14ac:dyDescent="0.3">
      <c r="B35" s="12" t="s">
        <v>179</v>
      </c>
      <c r="O35" s="17" t="s">
        <v>251</v>
      </c>
      <c r="P35" s="15"/>
      <c r="Q35" s="15"/>
      <c r="R35" s="15"/>
      <c r="S35" s="15"/>
      <c r="T35" s="15"/>
      <c r="U35" s="15"/>
      <c r="V35" s="15"/>
      <c r="W35" s="15"/>
      <c r="X35" s="15"/>
      <c r="Y35" s="15"/>
      <c r="Z35" s="15"/>
      <c r="AA35" s="15"/>
      <c r="AB35" s="15"/>
    </row>
    <row r="36" spans="2:28" x14ac:dyDescent="0.3">
      <c r="B36" s="20" t="s">
        <v>253</v>
      </c>
      <c r="C36" s="21"/>
      <c r="O36" s="17" t="s">
        <v>252</v>
      </c>
      <c r="P36" s="15"/>
      <c r="Q36" s="15"/>
      <c r="R36" s="15"/>
      <c r="S36" s="15"/>
      <c r="T36" s="15"/>
      <c r="U36" s="15"/>
      <c r="V36" s="15"/>
      <c r="W36" s="15"/>
      <c r="X36" s="15"/>
      <c r="Y36" s="15"/>
      <c r="Z36" s="15"/>
      <c r="AA36" s="15"/>
      <c r="AB36" s="15"/>
    </row>
    <row r="37" spans="2:28" x14ac:dyDescent="0.3">
      <c r="B37" s="20" t="s">
        <v>254</v>
      </c>
      <c r="C37" s="21"/>
      <c r="O37" s="17" t="s">
        <v>215</v>
      </c>
      <c r="P37" s="15"/>
      <c r="Q37" s="15"/>
      <c r="R37" s="15"/>
      <c r="S37" s="15"/>
      <c r="T37" s="15"/>
      <c r="U37" s="15"/>
      <c r="V37" s="15"/>
      <c r="W37" s="15"/>
      <c r="X37" s="15"/>
      <c r="Y37" s="15"/>
      <c r="Z37" s="15"/>
      <c r="AA37" s="15"/>
      <c r="AB37" s="15"/>
    </row>
    <row r="38" spans="2:28" x14ac:dyDescent="0.3">
      <c r="B38" s="20" t="s">
        <v>255</v>
      </c>
      <c r="C38" s="21"/>
      <c r="O38" s="14" t="s">
        <v>44</v>
      </c>
      <c r="P38" s="15"/>
      <c r="Q38" s="15"/>
      <c r="R38" s="15"/>
      <c r="S38" s="15"/>
      <c r="T38" s="15"/>
      <c r="U38" s="15"/>
      <c r="V38" s="15"/>
      <c r="W38" s="15"/>
      <c r="X38" s="15"/>
      <c r="Y38" s="15"/>
      <c r="Z38" s="15"/>
      <c r="AA38" s="15"/>
      <c r="AB38" s="15"/>
    </row>
    <row r="39" spans="2:28" x14ac:dyDescent="0.3">
      <c r="B39" s="20" t="s">
        <v>101</v>
      </c>
      <c r="C39" s="21"/>
      <c r="O39" s="17" t="s">
        <v>219</v>
      </c>
      <c r="P39" s="15"/>
      <c r="Q39" s="15"/>
      <c r="R39" s="15"/>
      <c r="S39" s="15"/>
      <c r="T39" s="15"/>
      <c r="U39" s="15"/>
      <c r="V39" s="15"/>
      <c r="W39" s="15"/>
      <c r="X39" s="15"/>
      <c r="Y39" s="15"/>
      <c r="Z39" s="15"/>
      <c r="AA39" s="15"/>
      <c r="AB39" s="15"/>
    </row>
    <row r="40" spans="2:28" ht="18" customHeight="1" x14ac:dyDescent="0.3">
      <c r="B40" s="40" t="s">
        <v>10</v>
      </c>
      <c r="C40" s="41"/>
      <c r="O40" s="17" t="s">
        <v>218</v>
      </c>
      <c r="P40" s="15"/>
      <c r="Q40" s="15"/>
      <c r="R40" s="15"/>
      <c r="S40" s="15"/>
      <c r="T40" s="15"/>
      <c r="U40" s="15"/>
      <c r="V40" s="15"/>
      <c r="W40" s="15"/>
      <c r="X40" s="15"/>
      <c r="Y40" s="15"/>
      <c r="Z40" s="15"/>
      <c r="AA40" s="15"/>
      <c r="AB40" s="15"/>
    </row>
    <row r="41" spans="2:28" ht="12.6" customHeight="1" x14ac:dyDescent="0.3">
      <c r="B41" s="42"/>
      <c r="C41" s="41"/>
      <c r="O41" s="17"/>
      <c r="P41" s="15"/>
      <c r="Q41" s="15"/>
      <c r="R41" s="15"/>
      <c r="S41" s="15"/>
      <c r="T41" s="15"/>
      <c r="U41" s="15"/>
      <c r="V41" s="15"/>
      <c r="W41" s="15"/>
      <c r="X41" s="15"/>
      <c r="Y41" s="15"/>
      <c r="Z41" s="15"/>
      <c r="AA41" s="15"/>
      <c r="AB41" s="15"/>
    </row>
    <row r="42" spans="2:28" x14ac:dyDescent="0.3">
      <c r="O42" s="14" t="s">
        <v>47</v>
      </c>
      <c r="P42" s="15"/>
      <c r="Q42" s="15"/>
      <c r="R42" s="15"/>
      <c r="S42" s="15"/>
      <c r="T42" s="15"/>
      <c r="U42" s="15"/>
      <c r="V42" s="15"/>
      <c r="W42" s="15"/>
      <c r="X42" s="15"/>
      <c r="Y42" s="15"/>
      <c r="Z42" s="15"/>
      <c r="AA42" s="15"/>
      <c r="AB42" s="15"/>
    </row>
    <row r="43" spans="2:28" x14ac:dyDescent="0.3">
      <c r="B43" s="12" t="s">
        <v>17</v>
      </c>
      <c r="C43" s="12"/>
      <c r="D43" s="12"/>
      <c r="E43" s="12"/>
      <c r="F43" s="12"/>
      <c r="G43" s="12"/>
      <c r="H43" s="12"/>
      <c r="I43" s="12"/>
      <c r="J43" s="12"/>
      <c r="K43" s="12"/>
      <c r="L43" s="12"/>
      <c r="M43" s="12"/>
      <c r="N43" s="12"/>
      <c r="O43" s="17" t="s">
        <v>248</v>
      </c>
      <c r="P43" s="15"/>
      <c r="Q43" s="15"/>
      <c r="R43" s="15"/>
      <c r="S43" s="15"/>
      <c r="T43" s="15"/>
      <c r="U43" s="15"/>
      <c r="V43" s="15"/>
      <c r="W43" s="15"/>
      <c r="X43" s="15"/>
      <c r="Y43" s="15"/>
      <c r="Z43" s="15"/>
      <c r="AA43" s="15"/>
      <c r="AB43" s="15"/>
    </row>
    <row r="44" spans="2:28" x14ac:dyDescent="0.3">
      <c r="B44" s="20" t="s">
        <v>256</v>
      </c>
      <c r="C44" s="21"/>
      <c r="D44" s="21"/>
      <c r="E44" s="21"/>
      <c r="F44" s="21"/>
      <c r="G44" s="21"/>
      <c r="H44" s="21"/>
      <c r="I44" s="21"/>
      <c r="J44" s="21"/>
      <c r="K44" s="21"/>
      <c r="L44" s="21"/>
      <c r="M44" s="21"/>
      <c r="N44" s="21"/>
      <c r="O44" s="17" t="s">
        <v>249</v>
      </c>
      <c r="P44" s="15"/>
      <c r="Q44" s="15"/>
      <c r="R44" s="15"/>
      <c r="S44" s="15"/>
      <c r="T44" s="15"/>
      <c r="U44" s="15"/>
      <c r="V44" s="15"/>
      <c r="W44" s="15"/>
      <c r="X44" s="15"/>
      <c r="Y44" s="15"/>
      <c r="Z44" s="15"/>
      <c r="AA44" s="15"/>
      <c r="AB44" s="15"/>
    </row>
    <row r="45" spans="2:28" x14ac:dyDescent="0.3">
      <c r="B45" s="20" t="s">
        <v>257</v>
      </c>
      <c r="C45" s="21"/>
      <c r="D45" s="21"/>
      <c r="E45" s="21"/>
      <c r="F45" s="21"/>
      <c r="G45" s="21"/>
      <c r="H45" s="21"/>
      <c r="I45" s="21"/>
      <c r="J45" s="21"/>
      <c r="K45" s="21"/>
      <c r="L45" s="21"/>
      <c r="M45" s="21"/>
      <c r="N45" s="21"/>
      <c r="P45" s="15"/>
      <c r="Q45" s="15"/>
      <c r="R45" s="15"/>
      <c r="S45" s="15"/>
      <c r="T45" s="15"/>
      <c r="U45" s="15"/>
      <c r="V45" s="15"/>
      <c r="W45" s="15"/>
      <c r="X45" s="15"/>
      <c r="Y45" s="15"/>
      <c r="Z45" s="15"/>
      <c r="AA45" s="15"/>
      <c r="AB45" s="15"/>
    </row>
    <row r="46" spans="2:28" x14ac:dyDescent="0.3">
      <c r="B46" s="20" t="s">
        <v>258</v>
      </c>
      <c r="C46" s="41"/>
      <c r="D46" s="41"/>
      <c r="E46" s="41"/>
      <c r="F46" s="41"/>
      <c r="G46" s="41"/>
      <c r="H46" s="41"/>
      <c r="I46" s="41"/>
      <c r="J46" s="41"/>
      <c r="K46" s="41"/>
      <c r="L46" s="41"/>
      <c r="M46" s="41"/>
      <c r="N46" s="41"/>
      <c r="O46" s="17"/>
      <c r="P46" s="15"/>
      <c r="Q46" s="15"/>
      <c r="R46" s="15"/>
      <c r="S46" s="15"/>
      <c r="T46" s="15"/>
      <c r="U46" s="15"/>
      <c r="V46" s="15"/>
      <c r="W46" s="15"/>
      <c r="X46" s="15"/>
      <c r="Y46" s="15"/>
      <c r="Z46" s="15"/>
      <c r="AA46" s="15"/>
      <c r="AB46" s="15"/>
    </row>
    <row r="47" spans="2:28" x14ac:dyDescent="0.3">
      <c r="O47" s="17"/>
      <c r="P47" s="15"/>
      <c r="Q47" s="15"/>
      <c r="R47" s="15"/>
      <c r="S47" s="15"/>
      <c r="T47" s="15"/>
      <c r="U47" s="15"/>
      <c r="V47" s="15"/>
      <c r="W47" s="15"/>
      <c r="X47" s="15"/>
      <c r="Y47" s="15"/>
      <c r="Z47" s="15"/>
      <c r="AA47" s="15"/>
      <c r="AB47" s="15"/>
    </row>
    <row r="48" spans="2:28" x14ac:dyDescent="0.3">
      <c r="B48" s="1" t="s">
        <v>98</v>
      </c>
      <c r="P48" s="15"/>
      <c r="Q48" s="15"/>
      <c r="R48" s="15"/>
      <c r="S48" s="15"/>
      <c r="T48" s="15"/>
      <c r="U48" s="15"/>
      <c r="V48" s="15"/>
      <c r="W48" s="15"/>
      <c r="X48" s="15"/>
      <c r="Y48" s="15"/>
      <c r="Z48" s="15"/>
      <c r="AA48" s="15"/>
      <c r="AB48" s="15"/>
    </row>
    <row r="49" spans="2:29" x14ac:dyDescent="0.3">
      <c r="B49" s="11"/>
      <c r="N49" s="28"/>
      <c r="O49" s="26"/>
      <c r="P49" s="26"/>
      <c r="Q49" s="26"/>
      <c r="R49" s="26"/>
      <c r="S49" s="26"/>
      <c r="T49" s="26"/>
      <c r="U49" s="26"/>
      <c r="V49" s="26"/>
      <c r="W49" s="26"/>
      <c r="X49" s="26"/>
      <c r="Y49" s="26"/>
      <c r="Z49" s="26"/>
      <c r="AA49" s="26"/>
      <c r="AB49" s="26"/>
      <c r="AC49" s="28"/>
    </row>
    <row r="50" spans="2:29" x14ac:dyDescent="0.3">
      <c r="B50" s="11"/>
      <c r="N50" s="28"/>
      <c r="O50" s="14"/>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N54" s="28"/>
      <c r="O54" s="15"/>
      <c r="P54" s="26"/>
      <c r="Q54" s="26"/>
      <c r="R54" s="26"/>
      <c r="S54" s="26"/>
      <c r="T54" s="26"/>
      <c r="U54" s="26"/>
      <c r="V54" s="26"/>
      <c r="W54" s="26"/>
      <c r="X54" s="26"/>
      <c r="Y54" s="26"/>
      <c r="Z54" s="26"/>
      <c r="AA54" s="26"/>
      <c r="AB54" s="26"/>
      <c r="AC54" s="28"/>
    </row>
    <row r="55" spans="2:29" x14ac:dyDescent="0.3">
      <c r="B55" s="11"/>
      <c r="M55" s="30"/>
      <c r="N55" s="28"/>
      <c r="O55" s="27"/>
      <c r="P55" s="26"/>
      <c r="Q55" s="26"/>
      <c r="R55" s="26"/>
      <c r="S55" s="26"/>
      <c r="T55" s="26"/>
      <c r="U55" s="26"/>
      <c r="V55" s="26"/>
      <c r="W55" s="26"/>
      <c r="X55" s="26"/>
      <c r="Y55" s="26"/>
      <c r="Z55" s="26"/>
      <c r="AA55" s="26"/>
      <c r="AB55" s="26"/>
      <c r="AC55" s="28"/>
    </row>
    <row r="56" spans="2:29" x14ac:dyDescent="0.3">
      <c r="O56" s="27"/>
      <c r="P56" s="26"/>
      <c r="Q56" s="26"/>
      <c r="R56" s="26"/>
      <c r="S56" s="26"/>
      <c r="T56" s="26"/>
      <c r="U56" s="26"/>
      <c r="V56" s="26"/>
      <c r="W56" s="26"/>
      <c r="X56" s="26"/>
      <c r="Y56" s="26"/>
      <c r="Z56" s="26"/>
      <c r="AA56" s="26"/>
      <c r="AB56" s="26"/>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35"/>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N60" s="28"/>
      <c r="O60" s="29"/>
      <c r="P60" s="28"/>
      <c r="Q60" s="28"/>
      <c r="R60" s="28"/>
      <c r="S60" s="28"/>
      <c r="T60" s="28"/>
      <c r="U60" s="28"/>
      <c r="V60" s="28"/>
      <c r="W60" s="28"/>
      <c r="X60" s="28"/>
      <c r="Y60" s="28"/>
      <c r="Z60" s="28"/>
      <c r="AA60" s="28"/>
      <c r="AB60" s="28"/>
      <c r="AC60" s="28"/>
    </row>
    <row r="61" spans="2:29" x14ac:dyDescent="0.3">
      <c r="O61" s="11"/>
    </row>
    <row r="62" spans="2:29" x14ac:dyDescent="0.3">
      <c r="N62" t="s">
        <v>180</v>
      </c>
    </row>
    <row r="63" spans="2:29" x14ac:dyDescent="0.3">
      <c r="O63" s="11"/>
    </row>
    <row r="64" spans="2:29" x14ac:dyDescent="0.3">
      <c r="O64" s="11"/>
    </row>
    <row r="67" spans="2:16" x14ac:dyDescent="0.3">
      <c r="O67" s="8"/>
    </row>
    <row r="73" spans="2:16" x14ac:dyDescent="0.3">
      <c r="P73" t="s">
        <v>259</v>
      </c>
    </row>
    <row r="75" spans="2:16" x14ac:dyDescent="0.3">
      <c r="B75" s="1"/>
    </row>
    <row r="76" spans="2:16" x14ac:dyDescent="0.3">
      <c r="B76" s="65"/>
      <c r="C76" s="65"/>
      <c r="D76" s="65"/>
      <c r="E76" s="65"/>
      <c r="F76" s="65"/>
      <c r="G76" s="65"/>
      <c r="H76" s="65"/>
      <c r="I76" s="65"/>
      <c r="J76" s="65"/>
      <c r="K76" s="65"/>
      <c r="L76" s="65"/>
      <c r="N76" s="8"/>
    </row>
    <row r="77" spans="2:16" x14ac:dyDescent="0.3">
      <c r="C77" s="23"/>
    </row>
    <row r="78" spans="2:16" x14ac:dyDescent="0.3">
      <c r="C78" s="23"/>
    </row>
    <row r="79" spans="2:16" x14ac:dyDescent="0.3">
      <c r="C79" s="23"/>
    </row>
    <row r="80" spans="2:16" x14ac:dyDescent="0.3">
      <c r="C80" s="23"/>
    </row>
    <row r="81" spans="3:3" x14ac:dyDescent="0.3">
      <c r="C81" s="23"/>
    </row>
  </sheetData>
  <mergeCells count="1">
    <mergeCell ref="B76:L76"/>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047B6-48FE-4106-8079-4F291EC91B67}">
  <dimension ref="B3:AC80"/>
  <sheetViews>
    <sheetView showGridLines="0" topLeftCell="A4" zoomScale="70" zoomScaleNormal="70" workbookViewId="0">
      <selection activeCell="C29" sqref="C29"/>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97</v>
      </c>
    </row>
    <row r="21" spans="2:28" x14ac:dyDescent="0.3">
      <c r="C21" s="32"/>
      <c r="D21" s="33"/>
      <c r="E21" s="33"/>
    </row>
    <row r="22" spans="2:28" ht="27" x14ac:dyDescent="0.3">
      <c r="B22" s="4"/>
      <c r="C22" s="34">
        <v>46118</v>
      </c>
      <c r="D22" s="34">
        <v>46125</v>
      </c>
      <c r="E22" s="34">
        <v>46132</v>
      </c>
      <c r="F22" s="31" t="s">
        <v>135</v>
      </c>
      <c r="H22" s="9"/>
      <c r="J22" s="9"/>
      <c r="O22" s="6" t="s">
        <v>4</v>
      </c>
      <c r="P22" s="5">
        <v>46118</v>
      </c>
      <c r="Q22" s="5">
        <v>46126</v>
      </c>
      <c r="R22" s="5">
        <v>46132</v>
      </c>
      <c r="S22" s="7" t="s">
        <v>8</v>
      </c>
    </row>
    <row r="23" spans="2:28" x14ac:dyDescent="0.3">
      <c r="B23" s="4" t="s">
        <v>21</v>
      </c>
      <c r="C23" s="19">
        <v>130</v>
      </c>
      <c r="D23" s="19">
        <v>70</v>
      </c>
      <c r="E23" s="19">
        <v>30</v>
      </c>
      <c r="F23" s="19">
        <v>30</v>
      </c>
      <c r="H23" s="10"/>
      <c r="J23" s="1"/>
      <c r="O23" s="6" t="s">
        <v>1</v>
      </c>
      <c r="P23" s="2">
        <v>980</v>
      </c>
      <c r="Q23" s="2">
        <v>870</v>
      </c>
      <c r="R23" s="2">
        <v>780</v>
      </c>
      <c r="S23" s="3" t="s">
        <v>15</v>
      </c>
    </row>
    <row r="24" spans="2:28" x14ac:dyDescent="0.3">
      <c r="B24" s="4" t="s">
        <v>5</v>
      </c>
      <c r="C24" s="19">
        <v>180</v>
      </c>
      <c r="D24" s="19">
        <v>70</v>
      </c>
      <c r="E24" s="19">
        <v>30</v>
      </c>
      <c r="F24" s="19">
        <v>30</v>
      </c>
      <c r="H24" s="10"/>
      <c r="J24" s="1"/>
      <c r="O24" s="6" t="s">
        <v>0</v>
      </c>
      <c r="P24" s="2">
        <v>873</v>
      </c>
      <c r="Q24" s="2">
        <v>768</v>
      </c>
      <c r="R24" s="2">
        <v>652</v>
      </c>
      <c r="S24" s="3" t="s">
        <v>15</v>
      </c>
    </row>
    <row r="25" spans="2:28" x14ac:dyDescent="0.3">
      <c r="B25" s="4" t="s">
        <v>6</v>
      </c>
      <c r="C25" s="19">
        <v>140</v>
      </c>
      <c r="D25" s="19">
        <v>75</v>
      </c>
      <c r="E25" s="19">
        <v>30</v>
      </c>
      <c r="F25" s="19">
        <v>30</v>
      </c>
      <c r="H25" s="1"/>
      <c r="J25" s="1"/>
      <c r="O25" s="6" t="s">
        <v>2</v>
      </c>
      <c r="P25" s="2">
        <v>1128</v>
      </c>
      <c r="Q25" s="2">
        <v>1250</v>
      </c>
      <c r="R25" s="2">
        <v>1230</v>
      </c>
      <c r="S25" s="3" t="s">
        <v>15</v>
      </c>
    </row>
    <row r="26" spans="2:28" x14ac:dyDescent="0.3">
      <c r="B26" s="4" t="s">
        <v>7</v>
      </c>
      <c r="C26" s="19"/>
      <c r="D26" s="19"/>
      <c r="E26" s="19"/>
      <c r="F26" s="19"/>
      <c r="H26" s="10"/>
      <c r="J26" s="10"/>
      <c r="O26" s="6" t="s">
        <v>3</v>
      </c>
      <c r="P26" s="2">
        <v>875</v>
      </c>
      <c r="Q26" s="2">
        <v>803</v>
      </c>
      <c r="R26" s="36">
        <v>703</v>
      </c>
      <c r="S26" s="3"/>
    </row>
    <row r="27" spans="2:28" x14ac:dyDescent="0.3">
      <c r="O27" s="6"/>
      <c r="P27" s="2"/>
      <c r="Q27" s="2"/>
      <c r="R27" s="2"/>
      <c r="S27" s="2"/>
    </row>
    <row r="28" spans="2:28" x14ac:dyDescent="0.3">
      <c r="B28" s="12" t="s">
        <v>16</v>
      </c>
    </row>
    <row r="29" spans="2:28" ht="21" customHeight="1" x14ac:dyDescent="0.3">
      <c r="B29" s="11" t="s">
        <v>223</v>
      </c>
      <c r="O29" s="14" t="s">
        <v>176</v>
      </c>
      <c r="P29" s="15"/>
      <c r="Q29" s="15"/>
      <c r="R29" s="15"/>
      <c r="S29" s="15"/>
      <c r="T29" s="15"/>
      <c r="U29" s="15"/>
      <c r="V29" s="15"/>
      <c r="W29" s="15"/>
      <c r="X29" s="15"/>
      <c r="Y29" s="15"/>
      <c r="Z29" s="15"/>
      <c r="AA29" s="15"/>
      <c r="AB29" s="15"/>
    </row>
    <row r="30" spans="2:28" x14ac:dyDescent="0.3">
      <c r="B30" s="11" t="s">
        <v>224</v>
      </c>
      <c r="O30" s="16" t="s">
        <v>50</v>
      </c>
      <c r="P30" s="15"/>
      <c r="Q30" s="15"/>
      <c r="R30" s="15"/>
      <c r="S30" s="15"/>
      <c r="T30" s="15"/>
      <c r="U30" s="15"/>
      <c r="V30" s="15"/>
      <c r="W30" s="15"/>
      <c r="X30" s="15"/>
      <c r="Y30" s="15"/>
      <c r="Z30" s="15"/>
      <c r="AA30" s="15"/>
      <c r="AB30" s="15"/>
    </row>
    <row r="31" spans="2:28" x14ac:dyDescent="0.3">
      <c r="B31" s="11" t="s">
        <v>225</v>
      </c>
      <c r="O31" s="17" t="s">
        <v>216</v>
      </c>
      <c r="P31" s="15"/>
      <c r="Q31" s="15"/>
      <c r="R31" s="15"/>
      <c r="S31" s="15"/>
      <c r="T31" s="15"/>
      <c r="U31" s="15"/>
      <c r="V31" s="15"/>
      <c r="W31" s="15"/>
      <c r="X31" s="15"/>
      <c r="Y31" s="15"/>
      <c r="Z31" s="15"/>
      <c r="AA31" s="15"/>
      <c r="AB31" s="15"/>
    </row>
    <row r="32" spans="2:28" ht="13.9" customHeight="1" x14ac:dyDescent="0.3">
      <c r="O32" s="17" t="s">
        <v>217</v>
      </c>
      <c r="P32" s="15"/>
      <c r="Q32" s="15"/>
      <c r="R32" s="15"/>
      <c r="S32" s="15"/>
      <c r="T32" s="15"/>
      <c r="U32" s="15"/>
      <c r="V32" s="15"/>
      <c r="W32" s="15"/>
      <c r="X32" s="15"/>
      <c r="Y32" s="15"/>
      <c r="Z32" s="15"/>
      <c r="AA32" s="15"/>
      <c r="AB32" s="15"/>
    </row>
    <row r="33" spans="2:29" x14ac:dyDescent="0.3">
      <c r="B33" s="12" t="s">
        <v>179</v>
      </c>
      <c r="O33" s="17"/>
      <c r="P33" s="15"/>
      <c r="Q33" s="15"/>
      <c r="R33" s="15"/>
      <c r="S33" s="15"/>
      <c r="T33" s="15"/>
      <c r="U33" s="15"/>
      <c r="V33" s="15"/>
      <c r="W33" s="15"/>
      <c r="X33" s="15"/>
      <c r="Y33" s="15"/>
      <c r="Z33" s="15"/>
      <c r="AA33" s="15"/>
      <c r="AB33" s="15"/>
    </row>
    <row r="34" spans="2:29" x14ac:dyDescent="0.3">
      <c r="B34" s="20" t="s">
        <v>99</v>
      </c>
      <c r="C34" s="21"/>
      <c r="O34" s="14" t="s">
        <v>40</v>
      </c>
      <c r="P34" s="15"/>
      <c r="Q34" s="15"/>
      <c r="R34" s="15"/>
      <c r="S34" s="15"/>
      <c r="T34" s="15"/>
      <c r="U34" s="15"/>
      <c r="V34" s="15"/>
      <c r="W34" s="15"/>
      <c r="X34" s="15"/>
      <c r="Y34" s="15"/>
      <c r="Z34" s="15"/>
      <c r="AA34" s="15"/>
      <c r="AB34" s="15"/>
    </row>
    <row r="35" spans="2:29" x14ac:dyDescent="0.3">
      <c r="B35" s="20" t="s">
        <v>191</v>
      </c>
      <c r="C35" s="21"/>
      <c r="O35" s="17" t="s">
        <v>213</v>
      </c>
      <c r="P35" s="15"/>
      <c r="Q35" s="15"/>
      <c r="R35" s="15"/>
      <c r="S35" s="15"/>
      <c r="T35" s="15"/>
      <c r="U35" s="15"/>
      <c r="V35" s="15"/>
      <c r="W35" s="15"/>
      <c r="X35" s="15"/>
      <c r="Y35" s="15"/>
      <c r="Z35" s="15"/>
      <c r="AA35" s="15"/>
      <c r="AB35" s="15"/>
    </row>
    <row r="36" spans="2:29" x14ac:dyDescent="0.3">
      <c r="B36" s="20" t="s">
        <v>192</v>
      </c>
      <c r="C36" s="21"/>
      <c r="O36" s="17" t="s">
        <v>214</v>
      </c>
      <c r="P36" s="15"/>
      <c r="Q36" s="15"/>
      <c r="R36" s="15"/>
      <c r="S36" s="15"/>
      <c r="T36" s="15"/>
      <c r="U36" s="15"/>
      <c r="V36" s="15"/>
      <c r="W36" s="15"/>
      <c r="X36" s="15"/>
      <c r="Y36" s="15"/>
      <c r="Z36" s="15"/>
      <c r="AA36" s="15"/>
      <c r="AB36" s="15"/>
    </row>
    <row r="37" spans="2:29" x14ac:dyDescent="0.3">
      <c r="B37" s="20" t="s">
        <v>193</v>
      </c>
      <c r="C37" s="21"/>
      <c r="O37" s="17" t="s">
        <v>215</v>
      </c>
      <c r="P37" s="15"/>
      <c r="Q37" s="15"/>
      <c r="R37" s="15"/>
      <c r="S37" s="15"/>
      <c r="T37" s="15"/>
      <c r="U37" s="15"/>
      <c r="V37" s="15"/>
      <c r="W37" s="15"/>
      <c r="X37" s="15"/>
      <c r="Y37" s="15"/>
      <c r="Z37" s="15"/>
      <c r="AA37" s="15"/>
      <c r="AB37" s="15"/>
    </row>
    <row r="38" spans="2:29" x14ac:dyDescent="0.3">
      <c r="B38" s="20" t="s">
        <v>10</v>
      </c>
      <c r="C38" s="21"/>
      <c r="O38" s="14" t="s">
        <v>44</v>
      </c>
      <c r="P38" s="15"/>
      <c r="Q38" s="15"/>
      <c r="R38" s="15"/>
      <c r="S38" s="15"/>
      <c r="T38" s="15"/>
      <c r="U38" s="15"/>
      <c r="V38" s="15"/>
      <c r="W38" s="15"/>
      <c r="X38" s="15"/>
      <c r="Y38" s="15"/>
      <c r="Z38" s="15"/>
      <c r="AA38" s="15"/>
      <c r="AB38" s="15"/>
    </row>
    <row r="39" spans="2:29" ht="18" customHeight="1" x14ac:dyDescent="0.3">
      <c r="B39" s="29" t="s">
        <v>194</v>
      </c>
      <c r="O39" s="17" t="s">
        <v>219</v>
      </c>
      <c r="P39" s="15"/>
      <c r="Q39" s="15"/>
      <c r="R39" s="15"/>
      <c r="S39" s="15"/>
      <c r="T39" s="15"/>
      <c r="U39" s="15"/>
      <c r="V39" s="15"/>
      <c r="W39" s="15"/>
      <c r="X39" s="15"/>
      <c r="Y39" s="15"/>
      <c r="Z39" s="15"/>
      <c r="AA39" s="15"/>
      <c r="AB39" s="15"/>
    </row>
    <row r="40" spans="2:29" ht="12.6" customHeight="1" x14ac:dyDescent="0.3">
      <c r="O40" s="17" t="s">
        <v>218</v>
      </c>
      <c r="P40" s="15"/>
      <c r="Q40" s="15"/>
      <c r="R40" s="15"/>
      <c r="S40" s="15"/>
      <c r="T40" s="15"/>
      <c r="U40" s="15"/>
      <c r="V40" s="15"/>
      <c r="W40" s="15"/>
      <c r="X40" s="15"/>
      <c r="Y40" s="15"/>
      <c r="Z40" s="15"/>
      <c r="AA40" s="15"/>
      <c r="AB40" s="15"/>
    </row>
    <row r="41" spans="2:29" x14ac:dyDescent="0.3">
      <c r="B41" s="12" t="s">
        <v>17</v>
      </c>
      <c r="O41" s="17"/>
      <c r="P41" s="15"/>
      <c r="Q41" s="15"/>
      <c r="R41" s="15"/>
      <c r="S41" s="15"/>
      <c r="T41" s="15"/>
      <c r="U41" s="15"/>
      <c r="V41" s="15"/>
      <c r="W41" s="15"/>
      <c r="X41" s="15"/>
      <c r="Y41" s="15"/>
      <c r="Z41" s="15"/>
      <c r="AA41" s="15"/>
      <c r="AB41" s="15"/>
    </row>
    <row r="42" spans="2:29" x14ac:dyDescent="0.3">
      <c r="B42" s="20" t="s">
        <v>210</v>
      </c>
      <c r="C42" s="21"/>
      <c r="D42" s="21"/>
      <c r="E42" s="21"/>
      <c r="F42" s="21"/>
      <c r="G42" s="21"/>
      <c r="H42" s="21"/>
      <c r="I42" s="21"/>
      <c r="J42" s="21"/>
      <c r="K42" s="21"/>
      <c r="L42" s="21"/>
      <c r="M42" s="21"/>
      <c r="N42" s="21"/>
      <c r="O42" s="14" t="s">
        <v>47</v>
      </c>
      <c r="P42" s="15"/>
      <c r="Q42" s="15"/>
      <c r="R42" s="15"/>
      <c r="S42" s="15"/>
      <c r="T42" s="15"/>
      <c r="U42" s="15"/>
      <c r="V42" s="15"/>
      <c r="W42" s="15"/>
      <c r="X42" s="15"/>
      <c r="Y42" s="15"/>
      <c r="Z42" s="15"/>
      <c r="AA42" s="15"/>
      <c r="AB42" s="15"/>
    </row>
    <row r="43" spans="2:29" x14ac:dyDescent="0.3">
      <c r="B43" s="20" t="s">
        <v>221</v>
      </c>
      <c r="C43" s="21"/>
      <c r="D43" s="21"/>
      <c r="E43" s="21"/>
      <c r="F43" s="21"/>
      <c r="G43" s="21"/>
      <c r="H43" s="21"/>
      <c r="I43" s="21"/>
      <c r="J43" s="21"/>
      <c r="K43" s="21"/>
      <c r="L43" s="21"/>
      <c r="M43" s="21"/>
      <c r="N43" s="21"/>
      <c r="O43" s="17" t="s">
        <v>205</v>
      </c>
      <c r="P43" s="15"/>
      <c r="Q43" s="15"/>
      <c r="R43" s="15"/>
      <c r="S43" s="15"/>
      <c r="T43" s="15"/>
      <c r="U43" s="15"/>
      <c r="V43" s="15"/>
      <c r="W43" s="15"/>
      <c r="X43" s="15"/>
      <c r="Y43" s="15"/>
      <c r="Z43" s="15"/>
      <c r="AA43" s="15"/>
      <c r="AB43" s="15"/>
    </row>
    <row r="44" spans="2:29" x14ac:dyDescent="0.3">
      <c r="B44" s="20" t="s">
        <v>222</v>
      </c>
      <c r="C44" s="21"/>
      <c r="D44" s="21"/>
      <c r="E44" s="21"/>
      <c r="F44" s="21"/>
      <c r="G44" s="21"/>
      <c r="H44" s="21"/>
      <c r="I44" s="21"/>
      <c r="J44" s="21"/>
      <c r="K44" s="21"/>
      <c r="L44" s="21"/>
      <c r="M44" s="21"/>
      <c r="N44" s="21"/>
      <c r="O44" s="17" t="s">
        <v>220</v>
      </c>
      <c r="P44" s="15"/>
      <c r="Q44" s="15"/>
      <c r="R44" s="15"/>
      <c r="S44" s="15"/>
      <c r="T44" s="15"/>
      <c r="U44" s="15"/>
      <c r="V44" s="15"/>
      <c r="W44" s="15"/>
      <c r="X44" s="15"/>
      <c r="Y44" s="15"/>
      <c r="Z44" s="15"/>
      <c r="AA44" s="15"/>
      <c r="AB44" s="15"/>
    </row>
    <row r="45" spans="2:29" x14ac:dyDescent="0.3">
      <c r="O45" s="17"/>
      <c r="P45" s="15"/>
      <c r="Q45" s="15"/>
      <c r="R45" s="15"/>
      <c r="S45" s="15"/>
      <c r="T45" s="15"/>
      <c r="U45" s="15"/>
      <c r="V45" s="15"/>
      <c r="W45" s="15"/>
      <c r="X45" s="15"/>
      <c r="Y45" s="15"/>
      <c r="Z45" s="15"/>
      <c r="AA45" s="15"/>
      <c r="AB45" s="15"/>
    </row>
    <row r="46" spans="2:29" x14ac:dyDescent="0.3">
      <c r="O46" s="17"/>
      <c r="P46" s="15"/>
      <c r="Q46" s="15"/>
      <c r="R46" s="15"/>
      <c r="S46" s="15"/>
      <c r="T46" s="15"/>
      <c r="U46" s="15"/>
      <c r="V46" s="15"/>
      <c r="W46" s="15"/>
      <c r="X46" s="15"/>
      <c r="Y46" s="15"/>
      <c r="Z46" s="15"/>
      <c r="AA46" s="15"/>
      <c r="AB46" s="15"/>
    </row>
    <row r="47" spans="2:29" x14ac:dyDescent="0.3">
      <c r="B47" s="1" t="s">
        <v>98</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c r="P49" s="26"/>
      <c r="Q49" s="26"/>
      <c r="R49" s="26"/>
      <c r="S49" s="26"/>
      <c r="T49" s="26"/>
      <c r="U49" s="26"/>
      <c r="V49" s="26"/>
      <c r="W49" s="26"/>
      <c r="X49" s="26"/>
      <c r="Y49" s="26"/>
      <c r="Z49" s="26"/>
      <c r="AA49" s="26"/>
      <c r="AB49" s="26"/>
      <c r="AC49" s="28"/>
    </row>
    <row r="50" spans="2:29" x14ac:dyDescent="0.3">
      <c r="N50" s="28"/>
      <c r="O50" s="15"/>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B52" s="11"/>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M54" s="30"/>
      <c r="N54" s="28"/>
      <c r="O54" s="27"/>
      <c r="P54" s="26"/>
      <c r="Q54" s="26"/>
      <c r="R54" s="26"/>
      <c r="S54" s="26"/>
      <c r="T54" s="26"/>
      <c r="U54" s="26"/>
      <c r="V54" s="26"/>
      <c r="W54" s="26"/>
      <c r="X54" s="26"/>
      <c r="Y54" s="26"/>
      <c r="Z54" s="26"/>
      <c r="AA54" s="26"/>
      <c r="AB54" s="26"/>
      <c r="AC54" s="28"/>
    </row>
    <row r="55" spans="2:29" x14ac:dyDescent="0.3">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35"/>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1" spans="2:29" x14ac:dyDescent="0.3">
      <c r="N61" t="s">
        <v>180</v>
      </c>
    </row>
    <row r="62" spans="2:29" x14ac:dyDescent="0.3">
      <c r="O62" s="11"/>
    </row>
    <row r="63" spans="2:29" x14ac:dyDescent="0.3">
      <c r="O63" s="11"/>
    </row>
    <row r="66" spans="2:15" x14ac:dyDescent="0.3">
      <c r="O66" s="8"/>
    </row>
    <row r="74" spans="2:15" x14ac:dyDescent="0.3">
      <c r="B74" s="1"/>
    </row>
    <row r="75" spans="2:15" x14ac:dyDescent="0.3">
      <c r="B75" s="65"/>
      <c r="C75" s="65"/>
      <c r="D75" s="65"/>
      <c r="E75" s="65"/>
      <c r="F75" s="65"/>
      <c r="G75" s="65"/>
      <c r="H75" s="65"/>
      <c r="I75" s="65"/>
      <c r="J75" s="65"/>
      <c r="K75" s="65"/>
      <c r="L75" s="65"/>
      <c r="N75" s="8"/>
    </row>
    <row r="76" spans="2:15" x14ac:dyDescent="0.3">
      <c r="C76" s="23"/>
    </row>
    <row r="77" spans="2:15" x14ac:dyDescent="0.3">
      <c r="C77" s="23"/>
    </row>
    <row r="78" spans="2:15" x14ac:dyDescent="0.3">
      <c r="C78" s="23"/>
    </row>
    <row r="79" spans="2:15" x14ac:dyDescent="0.3">
      <c r="C79" s="23"/>
    </row>
    <row r="80" spans="2:15" x14ac:dyDescent="0.3">
      <c r="C80" s="23"/>
    </row>
  </sheetData>
  <mergeCells count="1">
    <mergeCell ref="B75:L75"/>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FA1E9-8B1E-4D76-B076-4C145A83FA9A}">
  <dimension ref="B3:AC80"/>
  <sheetViews>
    <sheetView showGridLines="0" topLeftCell="A30" zoomScale="55" zoomScaleNormal="55" workbookViewId="0">
      <selection activeCell="O50" sqref="O50"/>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97</v>
      </c>
    </row>
    <row r="21" spans="2:28" x14ac:dyDescent="0.3">
      <c r="C21" s="32"/>
      <c r="D21" s="33"/>
      <c r="E21" s="33"/>
    </row>
    <row r="22" spans="2:28" ht="27" x14ac:dyDescent="0.3">
      <c r="B22" s="4"/>
      <c r="C22" s="34">
        <v>46118</v>
      </c>
      <c r="D22" s="34">
        <v>46125</v>
      </c>
      <c r="E22" s="34">
        <v>46132</v>
      </c>
      <c r="F22" s="31" t="s">
        <v>135</v>
      </c>
      <c r="H22" s="9"/>
      <c r="J22" s="9"/>
      <c r="O22" s="6" t="s">
        <v>4</v>
      </c>
      <c r="P22" s="5">
        <v>46111</v>
      </c>
      <c r="Q22" s="5">
        <v>46118</v>
      </c>
      <c r="R22" s="5">
        <v>46126</v>
      </c>
      <c r="S22" s="7" t="s">
        <v>8</v>
      </c>
    </row>
    <row r="23" spans="2:28" x14ac:dyDescent="0.3">
      <c r="B23" s="4" t="s">
        <v>21</v>
      </c>
      <c r="C23" s="19">
        <v>130</v>
      </c>
      <c r="D23" s="19">
        <v>70</v>
      </c>
      <c r="E23" s="19">
        <v>40</v>
      </c>
      <c r="F23" s="19">
        <v>40</v>
      </c>
      <c r="H23" s="10"/>
      <c r="J23" s="1"/>
      <c r="O23" s="6" t="s">
        <v>1</v>
      </c>
      <c r="P23" s="2">
        <v>1050</v>
      </c>
      <c r="Q23" s="2">
        <v>980</v>
      </c>
      <c r="R23" s="2">
        <v>870</v>
      </c>
      <c r="S23" s="3" t="s">
        <v>15</v>
      </c>
    </row>
    <row r="24" spans="2:28" x14ac:dyDescent="0.3">
      <c r="B24" s="4" t="s">
        <v>5</v>
      </c>
      <c r="C24" s="19">
        <v>180</v>
      </c>
      <c r="D24" s="19">
        <v>70</v>
      </c>
      <c r="E24" s="19">
        <v>50</v>
      </c>
      <c r="F24" s="19">
        <v>50</v>
      </c>
      <c r="H24" s="10"/>
      <c r="J24" s="1"/>
      <c r="O24" s="6" t="s">
        <v>0</v>
      </c>
      <c r="P24" s="2">
        <v>905</v>
      </c>
      <c r="Q24" s="2">
        <v>873</v>
      </c>
      <c r="R24" s="2">
        <v>768</v>
      </c>
      <c r="S24" s="3" t="s">
        <v>15</v>
      </c>
    </row>
    <row r="25" spans="2:28" x14ac:dyDescent="0.3">
      <c r="B25" s="4" t="s">
        <v>6</v>
      </c>
      <c r="C25" s="19">
        <v>140</v>
      </c>
      <c r="D25" s="19">
        <v>75</v>
      </c>
      <c r="E25" s="19">
        <v>32</v>
      </c>
      <c r="F25" s="19">
        <v>32</v>
      </c>
      <c r="H25" s="1"/>
      <c r="J25" s="1"/>
      <c r="O25" s="6" t="s">
        <v>2</v>
      </c>
      <c r="P25" s="2">
        <v>1150</v>
      </c>
      <c r="Q25" s="2">
        <v>1128</v>
      </c>
      <c r="R25" s="2">
        <v>1250</v>
      </c>
      <c r="S25" s="3" t="s">
        <v>15</v>
      </c>
    </row>
    <row r="26" spans="2:28" x14ac:dyDescent="0.3">
      <c r="B26" s="4" t="s">
        <v>7</v>
      </c>
      <c r="C26" s="19"/>
      <c r="D26" s="19"/>
      <c r="E26" s="19"/>
      <c r="F26" s="19"/>
      <c r="H26" s="10"/>
      <c r="J26" s="10"/>
      <c r="O26" s="6" t="s">
        <v>3</v>
      </c>
      <c r="P26" s="2">
        <v>870</v>
      </c>
      <c r="Q26" s="2">
        <v>875</v>
      </c>
      <c r="R26" s="2">
        <v>803</v>
      </c>
      <c r="S26" s="3"/>
    </row>
    <row r="27" spans="2:28" x14ac:dyDescent="0.3">
      <c r="O27" s="6"/>
      <c r="P27" s="2"/>
      <c r="Q27" s="2"/>
      <c r="R27" s="2"/>
      <c r="S27" s="2"/>
    </row>
    <row r="28" spans="2:28" x14ac:dyDescent="0.3">
      <c r="B28" s="12" t="s">
        <v>16</v>
      </c>
    </row>
    <row r="29" spans="2:28" ht="21" customHeight="1" x14ac:dyDescent="0.3">
      <c r="B29" s="11" t="s">
        <v>207</v>
      </c>
      <c r="O29" s="14" t="s">
        <v>176</v>
      </c>
      <c r="P29" s="15"/>
      <c r="Q29" s="15"/>
      <c r="R29" s="15"/>
      <c r="S29" s="15"/>
      <c r="T29" s="15"/>
      <c r="U29" s="15"/>
      <c r="V29" s="15"/>
      <c r="W29" s="15"/>
      <c r="X29" s="15"/>
      <c r="Y29" s="15"/>
      <c r="Z29" s="15"/>
      <c r="AA29" s="15"/>
      <c r="AB29" s="15"/>
    </row>
    <row r="30" spans="2:28" x14ac:dyDescent="0.3">
      <c r="B30" s="11" t="s">
        <v>208</v>
      </c>
      <c r="O30" s="16" t="s">
        <v>50</v>
      </c>
      <c r="P30" s="15"/>
      <c r="Q30" s="15"/>
      <c r="R30" s="15"/>
      <c r="S30" s="15"/>
      <c r="T30" s="15"/>
      <c r="U30" s="15"/>
      <c r="V30" s="15"/>
      <c r="W30" s="15"/>
      <c r="X30" s="15"/>
      <c r="Y30" s="15"/>
      <c r="Z30" s="15"/>
      <c r="AA30" s="15"/>
      <c r="AB30" s="15"/>
    </row>
    <row r="31" spans="2:28" x14ac:dyDescent="0.3">
      <c r="B31" s="11" t="s">
        <v>209</v>
      </c>
      <c r="O31" s="17" t="s">
        <v>198</v>
      </c>
      <c r="P31" s="15"/>
      <c r="Q31" s="15"/>
      <c r="R31" s="15"/>
      <c r="S31" s="15"/>
      <c r="T31" s="15"/>
      <c r="U31" s="15"/>
      <c r="V31" s="15"/>
      <c r="W31" s="15"/>
      <c r="X31" s="15"/>
      <c r="Y31" s="15"/>
      <c r="Z31" s="15"/>
      <c r="AA31" s="15"/>
      <c r="AB31" s="15"/>
    </row>
    <row r="32" spans="2:28" ht="13.9" customHeight="1" x14ac:dyDescent="0.3">
      <c r="O32" s="17" t="s">
        <v>199</v>
      </c>
      <c r="P32" s="15"/>
      <c r="Q32" s="15"/>
      <c r="R32" s="15"/>
      <c r="S32" s="15"/>
      <c r="T32" s="15"/>
      <c r="U32" s="15"/>
      <c r="V32" s="15"/>
      <c r="W32" s="15"/>
      <c r="X32" s="15"/>
      <c r="Y32" s="15"/>
      <c r="Z32" s="15"/>
      <c r="AA32" s="15"/>
      <c r="AB32" s="15"/>
    </row>
    <row r="33" spans="2:29" x14ac:dyDescent="0.3">
      <c r="B33" s="12" t="s">
        <v>179</v>
      </c>
      <c r="O33" s="17"/>
      <c r="P33" s="15"/>
      <c r="Q33" s="15"/>
      <c r="R33" s="15"/>
      <c r="S33" s="15"/>
      <c r="T33" s="15"/>
      <c r="U33" s="15"/>
      <c r="V33" s="15"/>
      <c r="W33" s="15"/>
      <c r="X33" s="15"/>
      <c r="Y33" s="15"/>
      <c r="Z33" s="15"/>
      <c r="AA33" s="15"/>
      <c r="AB33" s="15"/>
    </row>
    <row r="34" spans="2:29" x14ac:dyDescent="0.3">
      <c r="B34" s="20" t="s">
        <v>99</v>
      </c>
      <c r="C34" s="21"/>
      <c r="O34" s="14" t="s">
        <v>40</v>
      </c>
      <c r="P34" s="15"/>
      <c r="Q34" s="15"/>
      <c r="R34" s="15"/>
      <c r="S34" s="15"/>
      <c r="T34" s="15"/>
      <c r="U34" s="15"/>
      <c r="V34" s="15"/>
      <c r="W34" s="15"/>
      <c r="X34" s="15"/>
      <c r="Y34" s="15"/>
      <c r="Z34" s="15"/>
      <c r="AA34" s="15"/>
      <c r="AB34" s="15"/>
    </row>
    <row r="35" spans="2:29" x14ac:dyDescent="0.3">
      <c r="B35" s="20" t="s">
        <v>191</v>
      </c>
      <c r="C35" s="21"/>
      <c r="O35" s="17" t="s">
        <v>200</v>
      </c>
      <c r="P35" s="15"/>
      <c r="Q35" s="15"/>
      <c r="R35" s="15"/>
      <c r="S35" s="15"/>
      <c r="T35" s="15"/>
      <c r="U35" s="15"/>
      <c r="V35" s="15"/>
      <c r="W35" s="15"/>
      <c r="X35" s="15"/>
      <c r="Y35" s="15"/>
      <c r="Z35" s="15"/>
      <c r="AA35" s="15"/>
      <c r="AB35" s="15"/>
    </row>
    <row r="36" spans="2:29" x14ac:dyDescent="0.3">
      <c r="B36" s="20" t="s">
        <v>192</v>
      </c>
      <c r="C36" s="21"/>
      <c r="O36" s="17" t="s">
        <v>201</v>
      </c>
      <c r="P36" s="15"/>
      <c r="Q36" s="15"/>
      <c r="R36" s="15"/>
      <c r="S36" s="15"/>
      <c r="T36" s="15"/>
      <c r="U36" s="15"/>
      <c r="V36" s="15"/>
      <c r="W36" s="15"/>
      <c r="X36" s="15"/>
      <c r="Y36" s="15"/>
      <c r="Z36" s="15"/>
      <c r="AA36" s="15"/>
      <c r="AB36" s="15"/>
    </row>
    <row r="37" spans="2:29" x14ac:dyDescent="0.3">
      <c r="B37" s="20" t="s">
        <v>193</v>
      </c>
      <c r="C37" s="21"/>
      <c r="O37" s="17"/>
      <c r="P37" s="15"/>
      <c r="Q37" s="15"/>
      <c r="R37" s="15"/>
      <c r="S37" s="15"/>
      <c r="T37" s="15"/>
      <c r="U37" s="15"/>
      <c r="V37" s="15"/>
      <c r="W37" s="15"/>
      <c r="X37" s="15"/>
      <c r="Y37" s="15"/>
      <c r="Z37" s="15"/>
      <c r="AA37" s="15"/>
      <c r="AB37" s="15"/>
    </row>
    <row r="38" spans="2:29" x14ac:dyDescent="0.3">
      <c r="B38" s="20" t="s">
        <v>10</v>
      </c>
      <c r="C38" s="21"/>
      <c r="O38" s="14" t="s">
        <v>44</v>
      </c>
      <c r="P38" s="15"/>
      <c r="Q38" s="15"/>
      <c r="R38" s="15"/>
      <c r="S38" s="15"/>
      <c r="T38" s="15"/>
      <c r="U38" s="15"/>
      <c r="V38" s="15"/>
      <c r="W38" s="15"/>
      <c r="X38" s="15"/>
      <c r="Y38" s="15"/>
      <c r="Z38" s="15"/>
      <c r="AA38" s="15"/>
      <c r="AB38" s="15"/>
    </row>
    <row r="39" spans="2:29" ht="18" customHeight="1" x14ac:dyDescent="0.3">
      <c r="B39" s="29" t="s">
        <v>194</v>
      </c>
      <c r="O39" s="17" t="s">
        <v>202</v>
      </c>
      <c r="P39" s="15"/>
      <c r="Q39" s="15"/>
      <c r="R39" s="15"/>
      <c r="S39" s="15"/>
      <c r="T39" s="15"/>
      <c r="U39" s="15"/>
      <c r="V39" s="15"/>
      <c r="W39" s="15"/>
      <c r="X39" s="15"/>
      <c r="Y39" s="15"/>
      <c r="Z39" s="15"/>
      <c r="AA39" s="15"/>
      <c r="AB39" s="15"/>
    </row>
    <row r="40" spans="2:29" ht="12.6" customHeight="1" x14ac:dyDescent="0.3">
      <c r="O40" s="17" t="s">
        <v>203</v>
      </c>
      <c r="P40" s="15"/>
      <c r="Q40" s="15"/>
      <c r="R40" s="15"/>
      <c r="S40" s="15"/>
      <c r="T40" s="15"/>
      <c r="U40" s="15"/>
      <c r="V40" s="15"/>
      <c r="W40" s="15"/>
      <c r="X40" s="15"/>
      <c r="Y40" s="15"/>
      <c r="Z40" s="15"/>
      <c r="AA40" s="15"/>
      <c r="AB40" s="15"/>
    </row>
    <row r="41" spans="2:29" x14ac:dyDescent="0.3">
      <c r="B41" s="12" t="s">
        <v>17</v>
      </c>
      <c r="O41" s="17" t="s">
        <v>204</v>
      </c>
      <c r="P41" s="15"/>
      <c r="Q41" s="15"/>
      <c r="R41" s="15"/>
      <c r="S41" s="15"/>
      <c r="T41" s="15"/>
      <c r="U41" s="15"/>
      <c r="V41" s="15"/>
      <c r="W41" s="15"/>
      <c r="X41" s="15"/>
      <c r="Y41" s="15"/>
      <c r="Z41" s="15"/>
      <c r="AA41" s="15"/>
      <c r="AB41" s="15"/>
    </row>
    <row r="42" spans="2:29" x14ac:dyDescent="0.3">
      <c r="B42" s="20" t="s">
        <v>210</v>
      </c>
      <c r="C42" s="21"/>
      <c r="D42" s="21"/>
      <c r="E42" s="21"/>
      <c r="F42" s="21"/>
      <c r="G42" s="21"/>
      <c r="H42" s="21"/>
      <c r="I42" s="21"/>
      <c r="J42" s="21"/>
      <c r="K42" s="21"/>
      <c r="L42" s="21"/>
      <c r="M42" s="21"/>
      <c r="N42" s="21"/>
      <c r="O42" s="14" t="s">
        <v>47</v>
      </c>
      <c r="P42" s="15"/>
      <c r="Q42" s="15"/>
      <c r="R42" s="15"/>
      <c r="S42" s="15"/>
      <c r="T42" s="15"/>
      <c r="U42" s="15"/>
      <c r="V42" s="15"/>
      <c r="W42" s="15"/>
      <c r="X42" s="15"/>
      <c r="Y42" s="15"/>
      <c r="Z42" s="15"/>
      <c r="AA42" s="15"/>
      <c r="AB42" s="15"/>
    </row>
    <row r="43" spans="2:29" x14ac:dyDescent="0.3">
      <c r="B43" s="20" t="s">
        <v>211</v>
      </c>
      <c r="C43" s="21"/>
      <c r="D43" s="21"/>
      <c r="E43" s="21"/>
      <c r="F43" s="21"/>
      <c r="G43" s="21"/>
      <c r="H43" s="21"/>
      <c r="I43" s="21"/>
      <c r="J43" s="21"/>
      <c r="K43" s="21"/>
      <c r="L43" s="21"/>
      <c r="M43" s="21"/>
      <c r="N43" s="21"/>
      <c r="O43" s="17" t="s">
        <v>205</v>
      </c>
      <c r="P43" s="15"/>
      <c r="Q43" s="15"/>
      <c r="R43" s="15"/>
      <c r="S43" s="15"/>
      <c r="T43" s="15"/>
      <c r="U43" s="15"/>
      <c r="V43" s="15"/>
      <c r="W43" s="15"/>
      <c r="X43" s="15"/>
      <c r="Y43" s="15"/>
      <c r="Z43" s="15"/>
      <c r="AA43" s="15"/>
      <c r="AB43" s="15"/>
    </row>
    <row r="44" spans="2:29" x14ac:dyDescent="0.3">
      <c r="B44" s="20" t="s">
        <v>212</v>
      </c>
      <c r="C44" s="21"/>
      <c r="D44" s="21"/>
      <c r="E44" s="21"/>
      <c r="F44" s="21"/>
      <c r="G44" s="21"/>
      <c r="H44" s="21"/>
      <c r="I44" s="21"/>
      <c r="J44" s="21"/>
      <c r="K44" s="21"/>
      <c r="L44" s="21"/>
      <c r="M44" s="21"/>
      <c r="N44" s="21"/>
      <c r="O44" s="17" t="s">
        <v>206</v>
      </c>
      <c r="P44" s="15"/>
      <c r="Q44" s="15"/>
      <c r="R44" s="15"/>
      <c r="S44" s="15"/>
      <c r="T44" s="15"/>
      <c r="U44" s="15"/>
      <c r="V44" s="15"/>
      <c r="W44" s="15"/>
      <c r="X44" s="15"/>
      <c r="Y44" s="15"/>
      <c r="Z44" s="15"/>
      <c r="AA44" s="15"/>
      <c r="AB44" s="15"/>
    </row>
    <row r="45" spans="2:29" x14ac:dyDescent="0.3">
      <c r="O45" s="17"/>
      <c r="P45" s="15"/>
      <c r="Q45" s="15"/>
      <c r="R45" s="15"/>
      <c r="S45" s="15"/>
      <c r="T45" s="15"/>
      <c r="U45" s="15"/>
      <c r="V45" s="15"/>
      <c r="W45" s="15"/>
      <c r="X45" s="15"/>
      <c r="Y45" s="15"/>
      <c r="Z45" s="15"/>
      <c r="AA45" s="15"/>
      <c r="AB45" s="15"/>
    </row>
    <row r="46" spans="2:29" x14ac:dyDescent="0.3">
      <c r="O46" s="17"/>
      <c r="P46" s="15"/>
      <c r="Q46" s="15"/>
      <c r="R46" s="15"/>
      <c r="S46" s="15"/>
      <c r="T46" s="15"/>
      <c r="U46" s="15"/>
      <c r="V46" s="15"/>
      <c r="W46" s="15"/>
      <c r="X46" s="15"/>
      <c r="Y46" s="15"/>
      <c r="Z46" s="15"/>
      <c r="AA46" s="15"/>
      <c r="AB46" s="15"/>
    </row>
    <row r="47" spans="2:29" x14ac:dyDescent="0.3">
      <c r="B47" s="1" t="s">
        <v>98</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c r="P49" s="26"/>
      <c r="Q49" s="26"/>
      <c r="R49" s="26"/>
      <c r="S49" s="26"/>
      <c r="T49" s="26"/>
      <c r="U49" s="26"/>
      <c r="V49" s="26"/>
      <c r="W49" s="26"/>
      <c r="X49" s="26"/>
      <c r="Y49" s="26"/>
      <c r="Z49" s="26"/>
      <c r="AA49" s="26"/>
      <c r="AB49" s="26"/>
      <c r="AC49" s="28"/>
    </row>
    <row r="50" spans="2:29" x14ac:dyDescent="0.3">
      <c r="N50" s="28"/>
      <c r="O50" s="15"/>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B52" s="11"/>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M54" s="30"/>
      <c r="N54" s="28"/>
      <c r="O54" s="27"/>
      <c r="P54" s="26"/>
      <c r="Q54" s="26"/>
      <c r="R54" s="26"/>
      <c r="S54" s="26"/>
      <c r="T54" s="26"/>
      <c r="U54" s="26"/>
      <c r="V54" s="26"/>
      <c r="W54" s="26"/>
      <c r="X54" s="26"/>
      <c r="Y54" s="26"/>
      <c r="Z54" s="26"/>
      <c r="AA54" s="26"/>
      <c r="AB54" s="26"/>
      <c r="AC54" s="28"/>
    </row>
    <row r="55" spans="2:29" x14ac:dyDescent="0.3">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35"/>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1" spans="2:29" x14ac:dyDescent="0.3">
      <c r="N61" t="s">
        <v>180</v>
      </c>
    </row>
    <row r="62" spans="2:29" x14ac:dyDescent="0.3">
      <c r="O62" s="11"/>
    </row>
    <row r="63" spans="2:29" x14ac:dyDescent="0.3">
      <c r="O63" s="11"/>
    </row>
    <row r="66" spans="2:15" x14ac:dyDescent="0.3">
      <c r="O66" s="8"/>
    </row>
    <row r="74" spans="2:15" x14ac:dyDescent="0.3">
      <c r="B74" s="1"/>
    </row>
    <row r="75" spans="2:15" x14ac:dyDescent="0.3">
      <c r="B75" s="65"/>
      <c r="C75" s="65"/>
      <c r="D75" s="65"/>
      <c r="E75" s="65"/>
      <c r="F75" s="65"/>
      <c r="G75" s="65"/>
      <c r="H75" s="65"/>
      <c r="I75" s="65"/>
      <c r="J75" s="65"/>
      <c r="K75" s="65"/>
      <c r="L75" s="65"/>
      <c r="N75" s="8"/>
    </row>
    <row r="76" spans="2:15" x14ac:dyDescent="0.3">
      <c r="C76" s="23"/>
    </row>
    <row r="77" spans="2:15" x14ac:dyDescent="0.3">
      <c r="C77" s="23"/>
    </row>
    <row r="78" spans="2:15" x14ac:dyDescent="0.3">
      <c r="C78" s="23"/>
    </row>
    <row r="79" spans="2:15" x14ac:dyDescent="0.3">
      <c r="C79" s="23"/>
    </row>
    <row r="80" spans="2:15" x14ac:dyDescent="0.3">
      <c r="C80" s="23"/>
    </row>
  </sheetData>
  <mergeCells count="1">
    <mergeCell ref="B75:L75"/>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95B7-4EA6-40C8-A50F-0AB0B6062498}">
  <dimension ref="B3:AC80"/>
  <sheetViews>
    <sheetView showGridLines="0" topLeftCell="A16" zoomScale="70" zoomScaleNormal="70" workbookViewId="0">
      <selection activeCell="L15" sqref="L15"/>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34"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97</v>
      </c>
    </row>
    <row r="21" spans="2:28" x14ac:dyDescent="0.3">
      <c r="C21" s="32" t="s">
        <v>130</v>
      </c>
      <c r="D21" s="33" t="s">
        <v>130</v>
      </c>
      <c r="E21" s="33" t="s">
        <v>131</v>
      </c>
    </row>
    <row r="22" spans="2:28" ht="33" x14ac:dyDescent="0.3">
      <c r="B22" s="4"/>
      <c r="C22" s="34">
        <v>46104</v>
      </c>
      <c r="D22" s="34" t="s">
        <v>178</v>
      </c>
      <c r="E22" s="34">
        <v>46118</v>
      </c>
      <c r="F22" s="31" t="s">
        <v>135</v>
      </c>
      <c r="H22" s="9"/>
      <c r="J22" s="9"/>
      <c r="O22" s="6" t="s">
        <v>4</v>
      </c>
      <c r="P22" s="5">
        <v>46104</v>
      </c>
      <c r="Q22" s="5">
        <v>46111</v>
      </c>
      <c r="R22" s="5">
        <v>46118</v>
      </c>
      <c r="S22" s="7" t="s">
        <v>8</v>
      </c>
    </row>
    <row r="23" spans="2:28" x14ac:dyDescent="0.3">
      <c r="B23" s="4" t="s">
        <v>21</v>
      </c>
      <c r="C23" s="19">
        <v>150</v>
      </c>
      <c r="D23" s="19">
        <v>130</v>
      </c>
      <c r="E23" s="19">
        <v>130</v>
      </c>
      <c r="F23" s="19">
        <v>130</v>
      </c>
      <c r="H23" s="10"/>
      <c r="J23" s="1"/>
      <c r="O23" s="6" t="s">
        <v>1</v>
      </c>
      <c r="P23" s="2">
        <v>1150</v>
      </c>
      <c r="Q23" s="2">
        <v>1050</v>
      </c>
      <c r="R23" s="2">
        <v>980</v>
      </c>
      <c r="S23" s="3" t="s">
        <v>15</v>
      </c>
    </row>
    <row r="24" spans="2:28" x14ac:dyDescent="0.3">
      <c r="B24" s="4" t="s">
        <v>5</v>
      </c>
      <c r="C24" s="19">
        <v>200</v>
      </c>
      <c r="D24" s="19">
        <v>170</v>
      </c>
      <c r="E24" s="19">
        <v>180</v>
      </c>
      <c r="F24" s="19">
        <v>160</v>
      </c>
      <c r="H24" s="10"/>
      <c r="J24" s="1"/>
      <c r="O24" s="6" t="s">
        <v>0</v>
      </c>
      <c r="P24" s="2">
        <v>1017</v>
      </c>
      <c r="Q24" s="2">
        <v>905</v>
      </c>
      <c r="R24" s="2">
        <v>873</v>
      </c>
      <c r="S24" s="3" t="s">
        <v>15</v>
      </c>
    </row>
    <row r="25" spans="2:28" x14ac:dyDescent="0.3">
      <c r="B25" s="4" t="s">
        <v>6</v>
      </c>
      <c r="C25" s="19">
        <v>150</v>
      </c>
      <c r="D25" s="19">
        <v>130</v>
      </c>
      <c r="E25" s="19">
        <v>140</v>
      </c>
      <c r="F25" s="19">
        <v>130</v>
      </c>
      <c r="H25" s="1"/>
      <c r="J25" s="1"/>
      <c r="O25" s="6" t="s">
        <v>2</v>
      </c>
      <c r="P25" s="2">
        <v>1250</v>
      </c>
      <c r="Q25" s="2">
        <v>1150</v>
      </c>
      <c r="R25" s="2">
        <v>1128</v>
      </c>
      <c r="S25" s="3" t="s">
        <v>15</v>
      </c>
    </row>
    <row r="26" spans="2:28" x14ac:dyDescent="0.3">
      <c r="B26" s="4" t="s">
        <v>7</v>
      </c>
      <c r="C26" s="19">
        <v>350</v>
      </c>
      <c r="D26" s="19"/>
      <c r="E26" s="19"/>
      <c r="F26" s="19"/>
      <c r="H26" s="10"/>
      <c r="J26" s="10"/>
      <c r="O26" s="6" t="s">
        <v>3</v>
      </c>
      <c r="P26" s="2">
        <v>980</v>
      </c>
      <c r="Q26" s="2">
        <v>870</v>
      </c>
      <c r="R26" s="2">
        <v>875</v>
      </c>
      <c r="S26" s="3"/>
    </row>
    <row r="27" spans="2:28" x14ac:dyDescent="0.3">
      <c r="O27" s="6"/>
      <c r="P27" s="2"/>
      <c r="Q27" s="2"/>
      <c r="R27" s="2"/>
      <c r="S27" s="2"/>
    </row>
    <row r="28" spans="2:28" x14ac:dyDescent="0.3">
      <c r="B28" s="12" t="s">
        <v>16</v>
      </c>
    </row>
    <row r="29" spans="2:28" ht="21" customHeight="1" x14ac:dyDescent="0.3">
      <c r="B29" s="11" t="s">
        <v>187</v>
      </c>
      <c r="O29" s="14" t="s">
        <v>176</v>
      </c>
      <c r="P29" s="15"/>
      <c r="Q29" s="15"/>
      <c r="R29" s="15"/>
      <c r="S29" s="15"/>
      <c r="T29" s="15"/>
      <c r="U29" s="15"/>
      <c r="V29" s="15"/>
      <c r="W29" s="15"/>
      <c r="X29" s="15"/>
      <c r="Y29" s="15"/>
      <c r="Z29" s="15"/>
      <c r="AA29" s="15"/>
      <c r="AB29" s="15"/>
    </row>
    <row r="30" spans="2:28" x14ac:dyDescent="0.3">
      <c r="B30" s="11" t="s">
        <v>188</v>
      </c>
      <c r="O30" s="16" t="s">
        <v>50</v>
      </c>
      <c r="P30" s="15"/>
      <c r="Q30" s="15"/>
      <c r="R30" s="15"/>
      <c r="S30" s="15"/>
      <c r="T30" s="15"/>
      <c r="U30" s="15"/>
      <c r="V30" s="15"/>
      <c r="W30" s="15"/>
      <c r="X30" s="15"/>
      <c r="Y30" s="15"/>
      <c r="Z30" s="15"/>
      <c r="AA30" s="15"/>
      <c r="AB30" s="15"/>
    </row>
    <row r="31" spans="2:28" x14ac:dyDescent="0.3">
      <c r="B31" s="11" t="s">
        <v>189</v>
      </c>
      <c r="O31" s="17" t="s">
        <v>182</v>
      </c>
      <c r="P31" s="15"/>
      <c r="Q31" s="15"/>
      <c r="R31" s="15"/>
      <c r="S31" s="15"/>
      <c r="T31" s="15"/>
      <c r="U31" s="15"/>
      <c r="V31" s="15"/>
      <c r="W31" s="15"/>
      <c r="X31" s="15"/>
      <c r="Y31" s="15"/>
      <c r="Z31" s="15"/>
      <c r="AA31" s="15"/>
      <c r="AB31" s="15"/>
    </row>
    <row r="32" spans="2:28" ht="13.9" customHeight="1" x14ac:dyDescent="0.3">
      <c r="O32" s="17" t="s">
        <v>181</v>
      </c>
      <c r="P32" s="15"/>
      <c r="Q32" s="15"/>
      <c r="R32" s="15"/>
      <c r="S32" s="15"/>
      <c r="T32" s="15"/>
      <c r="U32" s="15"/>
      <c r="V32" s="15"/>
      <c r="W32" s="15"/>
      <c r="X32" s="15"/>
      <c r="Y32" s="15"/>
      <c r="Z32" s="15"/>
      <c r="AA32" s="15"/>
      <c r="AB32" s="15"/>
    </row>
    <row r="33" spans="2:29" x14ac:dyDescent="0.3">
      <c r="B33" s="12" t="s">
        <v>179</v>
      </c>
      <c r="O33" s="17"/>
      <c r="P33" s="15"/>
      <c r="Q33" s="15"/>
      <c r="R33" s="15"/>
      <c r="S33" s="15"/>
      <c r="T33" s="15"/>
      <c r="U33" s="15"/>
      <c r="V33" s="15"/>
      <c r="W33" s="15"/>
      <c r="X33" s="15"/>
      <c r="Y33" s="15"/>
      <c r="Z33" s="15"/>
      <c r="AA33" s="15"/>
      <c r="AB33" s="15"/>
    </row>
    <row r="34" spans="2:29" x14ac:dyDescent="0.3">
      <c r="B34" s="20" t="s">
        <v>99</v>
      </c>
      <c r="C34" s="21"/>
      <c r="O34" s="14" t="s">
        <v>40</v>
      </c>
      <c r="P34" s="15"/>
      <c r="Q34" s="15"/>
      <c r="R34" s="15"/>
      <c r="S34" s="15"/>
      <c r="T34" s="15"/>
      <c r="U34" s="15"/>
      <c r="V34" s="15"/>
      <c r="W34" s="15"/>
      <c r="X34" s="15"/>
      <c r="Y34" s="15"/>
      <c r="Z34" s="15"/>
      <c r="AA34" s="15"/>
      <c r="AB34" s="15"/>
    </row>
    <row r="35" spans="2:29" x14ac:dyDescent="0.3">
      <c r="B35" s="20" t="s">
        <v>191</v>
      </c>
      <c r="C35" s="21"/>
      <c r="O35" s="17" t="s">
        <v>183</v>
      </c>
      <c r="P35" s="15"/>
      <c r="Q35" s="15"/>
      <c r="R35" s="15"/>
      <c r="S35" s="15"/>
      <c r="T35" s="15"/>
      <c r="U35" s="15"/>
      <c r="V35" s="15"/>
      <c r="W35" s="15"/>
      <c r="X35" s="15"/>
      <c r="Y35" s="15"/>
      <c r="Z35" s="15"/>
      <c r="AA35" s="15"/>
      <c r="AB35" s="15"/>
    </row>
    <row r="36" spans="2:29" x14ac:dyDescent="0.3">
      <c r="B36" s="20" t="s">
        <v>192</v>
      </c>
      <c r="C36" s="21"/>
      <c r="O36" s="17" t="s">
        <v>184</v>
      </c>
      <c r="P36" s="15"/>
      <c r="Q36" s="15"/>
      <c r="R36" s="15"/>
      <c r="S36" s="15"/>
      <c r="T36" s="15"/>
      <c r="U36" s="15"/>
      <c r="V36" s="15"/>
      <c r="W36" s="15"/>
      <c r="X36" s="15"/>
      <c r="Y36" s="15"/>
      <c r="Z36" s="15"/>
      <c r="AA36" s="15"/>
      <c r="AB36" s="15"/>
    </row>
    <row r="37" spans="2:29" x14ac:dyDescent="0.3">
      <c r="B37" s="20" t="s">
        <v>193</v>
      </c>
      <c r="C37" s="21"/>
      <c r="O37" s="17"/>
      <c r="P37" s="15"/>
      <c r="Q37" s="15"/>
      <c r="R37" s="15"/>
      <c r="S37" s="15"/>
      <c r="T37" s="15"/>
      <c r="U37" s="15"/>
      <c r="V37" s="15"/>
      <c r="W37" s="15"/>
      <c r="X37" s="15"/>
      <c r="Y37" s="15"/>
      <c r="Z37" s="15"/>
      <c r="AA37" s="15"/>
      <c r="AB37" s="15"/>
    </row>
    <row r="38" spans="2:29" x14ac:dyDescent="0.3">
      <c r="B38" s="20" t="s">
        <v>10</v>
      </c>
      <c r="C38" s="21"/>
      <c r="O38" s="14" t="s">
        <v>44</v>
      </c>
      <c r="P38" s="15"/>
      <c r="Q38" s="15"/>
      <c r="R38" s="15"/>
      <c r="S38" s="15"/>
      <c r="T38" s="15"/>
      <c r="U38" s="15"/>
      <c r="V38" s="15"/>
      <c r="W38" s="15"/>
      <c r="X38" s="15"/>
      <c r="Y38" s="15"/>
      <c r="Z38" s="15"/>
      <c r="AA38" s="15"/>
      <c r="AB38" s="15"/>
    </row>
    <row r="39" spans="2:29" ht="18" customHeight="1" x14ac:dyDescent="0.3">
      <c r="B39" s="29" t="s">
        <v>194</v>
      </c>
      <c r="O39" s="17" t="s">
        <v>185</v>
      </c>
      <c r="P39" s="15"/>
      <c r="Q39" s="15"/>
      <c r="R39" s="15"/>
      <c r="S39" s="15"/>
      <c r="T39" s="15"/>
      <c r="U39" s="15"/>
      <c r="V39" s="15"/>
      <c r="W39" s="15"/>
      <c r="X39" s="15"/>
      <c r="Y39" s="15"/>
      <c r="Z39" s="15"/>
      <c r="AA39" s="15"/>
      <c r="AB39" s="15"/>
    </row>
    <row r="40" spans="2:29" ht="12.6" customHeight="1" x14ac:dyDescent="0.3">
      <c r="O40" s="17" t="s">
        <v>114</v>
      </c>
      <c r="P40" s="15"/>
      <c r="Q40" s="15"/>
      <c r="R40" s="15"/>
      <c r="S40" s="15"/>
      <c r="T40" s="15"/>
      <c r="U40" s="15"/>
      <c r="V40" s="15"/>
      <c r="W40" s="15"/>
      <c r="X40" s="15"/>
      <c r="Y40" s="15"/>
      <c r="Z40" s="15"/>
      <c r="AA40" s="15"/>
      <c r="AB40" s="15"/>
    </row>
    <row r="41" spans="2:29" x14ac:dyDescent="0.3">
      <c r="B41" s="12" t="s">
        <v>17</v>
      </c>
      <c r="O41" s="17" t="s">
        <v>159</v>
      </c>
      <c r="P41" s="15"/>
      <c r="Q41" s="15"/>
      <c r="R41" s="15"/>
      <c r="S41" s="15"/>
      <c r="T41" s="15"/>
      <c r="U41" s="15"/>
      <c r="V41" s="15"/>
      <c r="W41" s="15"/>
      <c r="X41" s="15"/>
      <c r="Y41" s="15"/>
      <c r="Z41" s="15"/>
      <c r="AA41" s="15"/>
      <c r="AB41" s="15"/>
    </row>
    <row r="42" spans="2:29" x14ac:dyDescent="0.3">
      <c r="B42" s="20" t="s">
        <v>195</v>
      </c>
      <c r="C42" s="21"/>
      <c r="D42" s="21"/>
      <c r="E42" s="21"/>
      <c r="F42" s="21"/>
      <c r="G42" s="21"/>
      <c r="H42" s="21"/>
      <c r="I42" s="21"/>
      <c r="J42" s="21"/>
      <c r="K42" s="21"/>
      <c r="O42" s="14" t="s">
        <v>47</v>
      </c>
      <c r="P42" s="15"/>
      <c r="Q42" s="15"/>
      <c r="R42" s="15"/>
      <c r="S42" s="15"/>
      <c r="T42" s="15"/>
      <c r="U42" s="15"/>
      <c r="V42" s="15"/>
      <c r="W42" s="15"/>
      <c r="X42" s="15"/>
      <c r="Y42" s="15"/>
      <c r="Z42" s="15"/>
      <c r="AA42" s="15"/>
      <c r="AB42" s="15"/>
    </row>
    <row r="43" spans="2:29" x14ac:dyDescent="0.3">
      <c r="B43" s="20" t="s">
        <v>196</v>
      </c>
      <c r="C43" s="21"/>
      <c r="D43" s="21"/>
      <c r="E43" s="21"/>
      <c r="F43" s="21"/>
      <c r="G43" s="21"/>
      <c r="H43" s="21"/>
      <c r="I43" s="21"/>
      <c r="J43" s="21"/>
      <c r="K43" s="21"/>
      <c r="O43" s="17" t="s">
        <v>190</v>
      </c>
      <c r="P43" s="15"/>
      <c r="Q43" s="15"/>
      <c r="R43" s="15"/>
      <c r="S43" s="15"/>
      <c r="T43" s="15"/>
      <c r="U43" s="15"/>
      <c r="V43" s="15"/>
      <c r="W43" s="15"/>
      <c r="X43" s="15"/>
      <c r="Y43" s="15"/>
      <c r="Z43" s="15"/>
      <c r="AA43" s="15"/>
      <c r="AB43" s="15"/>
    </row>
    <row r="44" spans="2:29" x14ac:dyDescent="0.3">
      <c r="B44" s="20" t="s">
        <v>197</v>
      </c>
      <c r="C44" s="21"/>
      <c r="D44" s="21"/>
      <c r="E44" s="21"/>
      <c r="F44" s="21"/>
      <c r="G44" s="21"/>
      <c r="H44" s="21"/>
      <c r="I44" s="21"/>
      <c r="J44" s="21"/>
      <c r="K44" s="21"/>
      <c r="O44" s="17" t="s">
        <v>186</v>
      </c>
      <c r="P44" s="15"/>
      <c r="Q44" s="15"/>
      <c r="R44" s="15"/>
      <c r="S44" s="15"/>
      <c r="T44" s="15"/>
      <c r="U44" s="15"/>
      <c r="V44" s="15"/>
      <c r="W44" s="15"/>
      <c r="X44" s="15"/>
      <c r="Y44" s="15"/>
      <c r="Z44" s="15"/>
      <c r="AA44" s="15"/>
      <c r="AB44" s="15"/>
    </row>
    <row r="45" spans="2:29" x14ac:dyDescent="0.3">
      <c r="O45" s="17"/>
      <c r="P45" s="15"/>
      <c r="Q45" s="15"/>
      <c r="R45" s="15"/>
      <c r="S45" s="15"/>
      <c r="T45" s="15"/>
      <c r="U45" s="15"/>
      <c r="V45" s="15"/>
      <c r="W45" s="15"/>
      <c r="X45" s="15"/>
      <c r="Y45" s="15"/>
      <c r="Z45" s="15"/>
      <c r="AA45" s="15"/>
      <c r="AB45" s="15"/>
    </row>
    <row r="46" spans="2:29" x14ac:dyDescent="0.3">
      <c r="O46" s="17"/>
      <c r="P46" s="15"/>
      <c r="Q46" s="15"/>
      <c r="R46" s="15"/>
      <c r="S46" s="15"/>
      <c r="T46" s="15"/>
      <c r="U46" s="15"/>
      <c r="V46" s="15"/>
      <c r="W46" s="15"/>
      <c r="X46" s="15"/>
      <c r="Y46" s="15"/>
      <c r="Z46" s="15"/>
      <c r="AA46" s="15"/>
      <c r="AB46" s="15"/>
    </row>
    <row r="47" spans="2:29" x14ac:dyDescent="0.3">
      <c r="B47" s="1" t="s">
        <v>98</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c r="P49" s="26"/>
      <c r="Q49" s="26"/>
      <c r="R49" s="26"/>
      <c r="S49" s="26"/>
      <c r="T49" s="26"/>
      <c r="U49" s="26"/>
      <c r="V49" s="26"/>
      <c r="W49" s="26"/>
      <c r="X49" s="26"/>
      <c r="Y49" s="26"/>
      <c r="Z49" s="26"/>
      <c r="AA49" s="26"/>
      <c r="AB49" s="26"/>
      <c r="AC49" s="28"/>
    </row>
    <row r="50" spans="2:29" x14ac:dyDescent="0.3">
      <c r="N50" s="28"/>
      <c r="O50" s="15"/>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B52" s="11"/>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M54" s="30"/>
      <c r="N54" s="28"/>
      <c r="O54" s="27"/>
      <c r="P54" s="26"/>
      <c r="Q54" s="26"/>
      <c r="R54" s="26"/>
      <c r="S54" s="26"/>
      <c r="T54" s="26"/>
      <c r="U54" s="26"/>
      <c r="V54" s="26"/>
      <c r="W54" s="26"/>
      <c r="X54" s="26"/>
      <c r="Y54" s="26"/>
      <c r="Z54" s="26"/>
      <c r="AA54" s="26"/>
      <c r="AB54" s="26"/>
      <c r="AC54" s="28"/>
    </row>
    <row r="55" spans="2:29" x14ac:dyDescent="0.3">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35"/>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1" spans="2:29" x14ac:dyDescent="0.3">
      <c r="N61" t="s">
        <v>180</v>
      </c>
    </row>
    <row r="62" spans="2:29" x14ac:dyDescent="0.3">
      <c r="O62" s="11"/>
    </row>
    <row r="63" spans="2:29" x14ac:dyDescent="0.3">
      <c r="O63" s="11"/>
    </row>
    <row r="66" spans="2:15" x14ac:dyDescent="0.3">
      <c r="O66" s="8"/>
    </row>
    <row r="74" spans="2:15" x14ac:dyDescent="0.3">
      <c r="B74" s="1"/>
    </row>
    <row r="75" spans="2:15" x14ac:dyDescent="0.3">
      <c r="B75" s="65"/>
      <c r="C75" s="65"/>
      <c r="D75" s="65"/>
      <c r="E75" s="65"/>
      <c r="F75" s="65"/>
      <c r="G75" s="65"/>
      <c r="H75" s="65"/>
      <c r="I75" s="65"/>
      <c r="J75" s="65"/>
      <c r="K75" s="65"/>
      <c r="L75" s="65"/>
      <c r="N75" s="8"/>
    </row>
    <row r="76" spans="2:15" x14ac:dyDescent="0.3">
      <c r="C76" s="23"/>
    </row>
    <row r="77" spans="2:15" x14ac:dyDescent="0.3">
      <c r="C77" s="23"/>
    </row>
    <row r="78" spans="2:15" x14ac:dyDescent="0.3">
      <c r="C78" s="23"/>
    </row>
    <row r="79" spans="2:15" x14ac:dyDescent="0.3">
      <c r="C79" s="23"/>
    </row>
    <row r="80" spans="2:15" x14ac:dyDescent="0.3">
      <c r="C80" s="23"/>
    </row>
  </sheetData>
  <mergeCells count="1">
    <mergeCell ref="B75:L75"/>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2BD77-6957-4D44-8DA2-137335103D46}">
  <dimension ref="B3:AC80"/>
  <sheetViews>
    <sheetView showGridLines="0" zoomScale="55" zoomScaleNormal="55" workbookViewId="0">
      <selection activeCell="M38" sqref="M38"/>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28.375"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97</v>
      </c>
    </row>
    <row r="21" spans="2:28" x14ac:dyDescent="0.3">
      <c r="C21" s="32" t="s">
        <v>130</v>
      </c>
      <c r="D21" s="33" t="s">
        <v>130</v>
      </c>
      <c r="E21" s="33" t="s">
        <v>131</v>
      </c>
    </row>
    <row r="22" spans="2:28" ht="27" x14ac:dyDescent="0.3">
      <c r="B22" s="4"/>
      <c r="C22" s="34">
        <v>46090</v>
      </c>
      <c r="D22" s="34">
        <v>46097</v>
      </c>
      <c r="E22" s="34">
        <v>46104</v>
      </c>
      <c r="F22" s="31" t="s">
        <v>135</v>
      </c>
      <c r="H22" s="9"/>
      <c r="J22" s="9"/>
      <c r="O22" s="6" t="s">
        <v>4</v>
      </c>
      <c r="P22" s="5">
        <v>46090</v>
      </c>
      <c r="Q22" s="5">
        <v>46097</v>
      </c>
      <c r="R22" s="5">
        <v>46104</v>
      </c>
      <c r="S22" s="7" t="s">
        <v>8</v>
      </c>
    </row>
    <row r="23" spans="2:28" x14ac:dyDescent="0.3">
      <c r="B23" s="4" t="s">
        <v>21</v>
      </c>
      <c r="C23" s="19">
        <v>500</v>
      </c>
      <c r="D23" s="19">
        <v>350</v>
      </c>
      <c r="E23" s="19">
        <v>150</v>
      </c>
      <c r="F23" s="19">
        <v>150</v>
      </c>
      <c r="H23" s="10"/>
      <c r="J23" s="1"/>
      <c r="O23" s="6" t="s">
        <v>1</v>
      </c>
      <c r="P23" s="2">
        <v>1450</v>
      </c>
      <c r="Q23" s="2">
        <v>1350</v>
      </c>
      <c r="R23" s="2">
        <v>1150</v>
      </c>
      <c r="S23" s="3" t="s">
        <v>15</v>
      </c>
    </row>
    <row r="24" spans="2:28" x14ac:dyDescent="0.3">
      <c r="B24" s="4" t="s">
        <v>5</v>
      </c>
      <c r="C24" s="19">
        <v>600</v>
      </c>
      <c r="D24" s="19">
        <v>800</v>
      </c>
      <c r="E24" s="19">
        <v>200</v>
      </c>
      <c r="F24" s="19">
        <v>200</v>
      </c>
      <c r="H24" s="10"/>
      <c r="J24" s="1"/>
      <c r="O24" s="6" t="s">
        <v>0</v>
      </c>
      <c r="P24" s="2">
        <v>1130</v>
      </c>
      <c r="Q24" s="2">
        <v>1100</v>
      </c>
      <c r="R24" s="2">
        <v>1017</v>
      </c>
      <c r="S24" s="3" t="s">
        <v>15</v>
      </c>
    </row>
    <row r="25" spans="2:28" x14ac:dyDescent="0.3">
      <c r="B25" s="4" t="s">
        <v>6</v>
      </c>
      <c r="C25" s="19">
        <v>450</v>
      </c>
      <c r="D25" s="19">
        <v>350</v>
      </c>
      <c r="E25" s="19">
        <v>150</v>
      </c>
      <c r="F25" s="19">
        <v>150</v>
      </c>
      <c r="H25" s="1"/>
      <c r="J25" s="1"/>
      <c r="O25" s="6" t="s">
        <v>2</v>
      </c>
      <c r="P25" s="2">
        <v>1350</v>
      </c>
      <c r="Q25" s="2">
        <v>1300</v>
      </c>
      <c r="R25" s="2">
        <v>1250</v>
      </c>
      <c r="S25" s="3" t="s">
        <v>15</v>
      </c>
    </row>
    <row r="26" spans="2:28" x14ac:dyDescent="0.3">
      <c r="B26" s="4" t="s">
        <v>7</v>
      </c>
      <c r="C26" s="19">
        <v>530</v>
      </c>
      <c r="D26" s="19">
        <v>450</v>
      </c>
      <c r="E26" s="19">
        <v>350</v>
      </c>
      <c r="F26" s="19">
        <v>350</v>
      </c>
      <c r="H26" s="10"/>
      <c r="J26" s="10"/>
      <c r="O26" s="6" t="s">
        <v>3</v>
      </c>
      <c r="P26" s="2">
        <v>1100</v>
      </c>
      <c r="Q26" s="2">
        <v>1050</v>
      </c>
      <c r="R26" s="2">
        <v>980</v>
      </c>
      <c r="S26" s="3" t="s">
        <v>15</v>
      </c>
    </row>
    <row r="27" spans="2:28" x14ac:dyDescent="0.3">
      <c r="O27" s="6"/>
      <c r="P27" s="2"/>
      <c r="Q27" s="2"/>
      <c r="R27" s="2"/>
      <c r="S27" s="2"/>
    </row>
    <row r="28" spans="2:28" x14ac:dyDescent="0.3">
      <c r="B28" s="12" t="s">
        <v>16</v>
      </c>
    </row>
    <row r="29" spans="2:28" ht="21" customHeight="1" x14ac:dyDescent="0.3">
      <c r="B29" s="11" t="s">
        <v>174</v>
      </c>
      <c r="O29" s="14" t="s">
        <v>176</v>
      </c>
      <c r="P29" s="15"/>
      <c r="Q29" s="15"/>
      <c r="R29" s="15"/>
      <c r="S29" s="15"/>
      <c r="T29" s="15"/>
      <c r="U29" s="15"/>
      <c r="V29" s="15"/>
      <c r="W29" s="15"/>
      <c r="X29" s="15"/>
      <c r="Y29" s="15"/>
      <c r="Z29" s="15"/>
      <c r="AA29" s="15"/>
      <c r="AB29" s="15"/>
    </row>
    <row r="30" spans="2:28" x14ac:dyDescent="0.3">
      <c r="B30" s="11" t="s">
        <v>153</v>
      </c>
      <c r="O30" s="16" t="s">
        <v>50</v>
      </c>
      <c r="P30" s="15"/>
      <c r="Q30" s="15"/>
      <c r="R30" s="15"/>
      <c r="S30" s="15"/>
      <c r="T30" s="15"/>
      <c r="U30" s="15"/>
      <c r="V30" s="15"/>
      <c r="W30" s="15"/>
      <c r="X30" s="15"/>
      <c r="Y30" s="15"/>
      <c r="Z30" s="15"/>
      <c r="AA30" s="15"/>
      <c r="AB30" s="15"/>
    </row>
    <row r="31" spans="2:28" x14ac:dyDescent="0.3">
      <c r="B31" s="11" t="s">
        <v>175</v>
      </c>
      <c r="O31" s="17" t="s">
        <v>166</v>
      </c>
      <c r="P31" s="15"/>
      <c r="Q31" s="15"/>
      <c r="R31" s="15"/>
      <c r="S31" s="15"/>
      <c r="T31" s="15"/>
      <c r="U31" s="15"/>
      <c r="V31" s="15"/>
      <c r="W31" s="15"/>
      <c r="X31" s="15"/>
      <c r="Y31" s="15"/>
      <c r="Z31" s="15"/>
      <c r="AA31" s="15"/>
      <c r="AB31" s="15"/>
    </row>
    <row r="32" spans="2:28" ht="13.9" customHeight="1" x14ac:dyDescent="0.3">
      <c r="O32" s="17" t="s">
        <v>167</v>
      </c>
      <c r="P32" s="15"/>
      <c r="Q32" s="15"/>
      <c r="R32" s="15"/>
      <c r="S32" s="15"/>
      <c r="T32" s="15"/>
      <c r="U32" s="15"/>
      <c r="V32" s="15"/>
      <c r="W32" s="15"/>
      <c r="X32" s="15"/>
      <c r="Y32" s="15"/>
      <c r="Z32" s="15"/>
      <c r="AA32" s="15"/>
      <c r="AB32" s="15"/>
    </row>
    <row r="33" spans="2:29" x14ac:dyDescent="0.3">
      <c r="B33" s="12" t="s">
        <v>148</v>
      </c>
      <c r="O33" s="17" t="s">
        <v>168</v>
      </c>
      <c r="P33" s="15"/>
      <c r="Q33" s="15"/>
      <c r="R33" s="15"/>
      <c r="S33" s="15"/>
      <c r="T33" s="15"/>
      <c r="U33" s="15"/>
      <c r="V33" s="15"/>
      <c r="W33" s="15"/>
      <c r="X33" s="15"/>
      <c r="Y33" s="15"/>
      <c r="Z33" s="15"/>
      <c r="AA33" s="15"/>
      <c r="AB33" s="15"/>
    </row>
    <row r="34" spans="2:29" x14ac:dyDescent="0.3">
      <c r="B34" s="20" t="s">
        <v>99</v>
      </c>
      <c r="C34" s="21"/>
      <c r="O34" s="14" t="s">
        <v>40</v>
      </c>
      <c r="P34" s="15"/>
      <c r="Q34" s="15"/>
      <c r="R34" s="15"/>
      <c r="S34" s="15"/>
      <c r="T34" s="15"/>
      <c r="U34" s="15"/>
      <c r="V34" s="15"/>
      <c r="W34" s="15"/>
      <c r="X34" s="15"/>
      <c r="Y34" s="15"/>
      <c r="Z34" s="15"/>
      <c r="AA34" s="15"/>
      <c r="AB34" s="15"/>
    </row>
    <row r="35" spans="2:29" x14ac:dyDescent="0.3">
      <c r="B35" s="20" t="s">
        <v>100</v>
      </c>
      <c r="C35" s="21"/>
      <c r="O35" s="17" t="s">
        <v>177</v>
      </c>
      <c r="P35" s="15"/>
      <c r="Q35" s="15"/>
      <c r="R35" s="15"/>
      <c r="S35" s="15"/>
      <c r="T35" s="15"/>
      <c r="U35" s="15"/>
      <c r="V35" s="15"/>
      <c r="W35" s="15"/>
      <c r="X35" s="15"/>
      <c r="Y35" s="15"/>
      <c r="Z35" s="15"/>
      <c r="AA35" s="15"/>
      <c r="AB35" s="15"/>
    </row>
    <row r="36" spans="2:29" x14ac:dyDescent="0.3">
      <c r="B36" s="20" t="s">
        <v>9</v>
      </c>
      <c r="C36" s="21"/>
      <c r="O36" s="17" t="s">
        <v>169</v>
      </c>
      <c r="P36" s="15"/>
      <c r="Q36" s="15"/>
      <c r="R36" s="15"/>
      <c r="S36" s="15"/>
      <c r="T36" s="15"/>
      <c r="U36" s="15"/>
      <c r="V36" s="15"/>
      <c r="W36" s="15"/>
      <c r="X36" s="15"/>
      <c r="Y36" s="15"/>
      <c r="Z36" s="15"/>
      <c r="AA36" s="15"/>
      <c r="AB36" s="15"/>
    </row>
    <row r="37" spans="2:29" x14ac:dyDescent="0.3">
      <c r="B37" s="20" t="s">
        <v>101</v>
      </c>
      <c r="C37" s="21"/>
      <c r="O37" s="17"/>
      <c r="P37" s="15"/>
      <c r="Q37" s="15"/>
      <c r="R37" s="15"/>
      <c r="S37" s="15"/>
      <c r="T37" s="15"/>
      <c r="U37" s="15"/>
      <c r="V37" s="15"/>
      <c r="W37" s="15"/>
      <c r="X37" s="15"/>
      <c r="Y37" s="15"/>
      <c r="Z37" s="15"/>
      <c r="AA37" s="15"/>
      <c r="AB37" s="15"/>
    </row>
    <row r="38" spans="2:29" x14ac:dyDescent="0.3">
      <c r="B38" s="20" t="s">
        <v>10</v>
      </c>
      <c r="C38" s="21"/>
      <c r="O38" s="14" t="s">
        <v>44</v>
      </c>
      <c r="P38" s="15"/>
      <c r="Q38" s="15"/>
      <c r="R38" s="15"/>
      <c r="S38" s="15"/>
      <c r="T38" s="15"/>
      <c r="U38" s="15"/>
      <c r="V38" s="15"/>
      <c r="W38" s="15"/>
      <c r="X38" s="15"/>
      <c r="Y38" s="15"/>
      <c r="Z38" s="15"/>
      <c r="AA38" s="15"/>
      <c r="AB38" s="15"/>
    </row>
    <row r="39" spans="2:29" ht="18" customHeight="1" x14ac:dyDescent="0.3">
      <c r="B39" s="29" t="s">
        <v>132</v>
      </c>
      <c r="O39" s="17" t="s">
        <v>114</v>
      </c>
      <c r="P39" s="15"/>
      <c r="Q39" s="15"/>
      <c r="R39" s="15"/>
      <c r="S39" s="15"/>
      <c r="T39" s="15"/>
      <c r="U39" s="15"/>
      <c r="V39" s="15"/>
      <c r="W39" s="15"/>
      <c r="X39" s="15"/>
      <c r="Y39" s="15"/>
      <c r="Z39" s="15"/>
      <c r="AA39" s="15"/>
      <c r="AB39" s="15"/>
    </row>
    <row r="40" spans="2:29" ht="12.6" customHeight="1" x14ac:dyDescent="0.3">
      <c r="O40" s="17" t="s">
        <v>159</v>
      </c>
      <c r="P40" s="15"/>
      <c r="Q40" s="15"/>
      <c r="R40" s="15"/>
      <c r="S40" s="15"/>
      <c r="T40" s="15"/>
      <c r="U40" s="15"/>
      <c r="V40" s="15"/>
      <c r="W40" s="15"/>
      <c r="X40" s="15"/>
      <c r="Y40" s="15"/>
      <c r="Z40" s="15"/>
      <c r="AA40" s="15"/>
      <c r="AB40" s="15"/>
    </row>
    <row r="41" spans="2:29" x14ac:dyDescent="0.3">
      <c r="B41" s="12" t="s">
        <v>17</v>
      </c>
      <c r="O41" s="17" t="s">
        <v>170</v>
      </c>
      <c r="P41" s="15"/>
      <c r="Q41" s="15"/>
      <c r="R41" s="15"/>
      <c r="S41" s="15"/>
      <c r="T41" s="15"/>
      <c r="U41" s="15"/>
      <c r="V41" s="15"/>
      <c r="W41" s="15"/>
      <c r="X41" s="15"/>
      <c r="Y41" s="15"/>
      <c r="Z41" s="15"/>
      <c r="AA41" s="15"/>
      <c r="AB41" s="15"/>
    </row>
    <row r="42" spans="2:29" x14ac:dyDescent="0.3">
      <c r="B42" s="20" t="s">
        <v>163</v>
      </c>
      <c r="C42" s="21"/>
      <c r="D42" s="21"/>
      <c r="E42" s="21"/>
      <c r="F42" s="21"/>
      <c r="G42" s="21"/>
      <c r="H42" s="21"/>
      <c r="I42" s="21"/>
      <c r="J42" s="21"/>
      <c r="K42" s="21"/>
      <c r="O42" s="14" t="s">
        <v>47</v>
      </c>
      <c r="P42" s="15"/>
      <c r="Q42" s="15"/>
      <c r="R42" s="15"/>
      <c r="S42" s="15"/>
      <c r="T42" s="15"/>
      <c r="U42" s="15"/>
      <c r="V42" s="15"/>
      <c r="W42" s="15"/>
      <c r="X42" s="15"/>
      <c r="Y42" s="15"/>
      <c r="Z42" s="15"/>
      <c r="AA42" s="15"/>
      <c r="AB42" s="15"/>
    </row>
    <row r="43" spans="2:29" x14ac:dyDescent="0.3">
      <c r="B43" s="20" t="s">
        <v>164</v>
      </c>
      <c r="C43" s="21"/>
      <c r="D43" s="21"/>
      <c r="E43" s="21"/>
      <c r="F43" s="21"/>
      <c r="G43" s="21"/>
      <c r="H43" s="21"/>
      <c r="I43" s="21"/>
      <c r="J43" s="21"/>
      <c r="K43" s="21"/>
      <c r="O43" s="17" t="s">
        <v>173</v>
      </c>
      <c r="P43" s="15"/>
      <c r="Q43" s="15"/>
      <c r="R43" s="15"/>
      <c r="S43" s="15"/>
      <c r="T43" s="15"/>
      <c r="U43" s="15"/>
      <c r="V43" s="15"/>
      <c r="W43" s="15"/>
      <c r="X43" s="15"/>
      <c r="Y43" s="15"/>
      <c r="Z43" s="15"/>
      <c r="AA43" s="15"/>
      <c r="AB43" s="15"/>
    </row>
    <row r="44" spans="2:29" x14ac:dyDescent="0.3">
      <c r="B44" s="20" t="s">
        <v>165</v>
      </c>
      <c r="C44" s="21"/>
      <c r="D44" s="21"/>
      <c r="E44" s="21"/>
      <c r="F44" s="21"/>
      <c r="G44" s="21"/>
      <c r="H44" s="21"/>
      <c r="I44" s="21"/>
      <c r="J44" s="21"/>
      <c r="K44" s="21"/>
      <c r="O44" s="17" t="s">
        <v>172</v>
      </c>
      <c r="P44" s="15"/>
      <c r="Q44" s="15"/>
      <c r="R44" s="15"/>
      <c r="S44" s="15"/>
      <c r="T44" s="15"/>
      <c r="U44" s="15"/>
      <c r="V44" s="15"/>
      <c r="W44" s="15"/>
      <c r="X44" s="15"/>
      <c r="Y44" s="15"/>
      <c r="Z44" s="15"/>
      <c r="AA44" s="15"/>
      <c r="AB44" s="15"/>
    </row>
    <row r="45" spans="2:29" x14ac:dyDescent="0.3">
      <c r="O45" s="17" t="s">
        <v>171</v>
      </c>
      <c r="P45" s="15"/>
      <c r="Q45" s="15"/>
      <c r="R45" s="15"/>
      <c r="S45" s="15"/>
      <c r="T45" s="15"/>
      <c r="U45" s="15"/>
      <c r="V45" s="15"/>
      <c r="W45" s="15"/>
      <c r="X45" s="15"/>
      <c r="Y45" s="15"/>
      <c r="Z45" s="15"/>
      <c r="AA45" s="15"/>
      <c r="AB45" s="15"/>
    </row>
    <row r="46" spans="2:29" x14ac:dyDescent="0.3">
      <c r="O46" s="17"/>
      <c r="P46" s="15"/>
      <c r="Q46" s="15"/>
      <c r="R46" s="15"/>
      <c r="S46" s="15"/>
      <c r="T46" s="15"/>
      <c r="U46" s="15"/>
      <c r="V46" s="15"/>
      <c r="W46" s="15"/>
      <c r="X46" s="15"/>
      <c r="Y46" s="15"/>
      <c r="Z46" s="15"/>
      <c r="AA46" s="15"/>
      <c r="AB46" s="15"/>
    </row>
    <row r="47" spans="2:29" x14ac:dyDescent="0.3">
      <c r="B47" s="1" t="s">
        <v>98</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c r="P49" s="26"/>
      <c r="Q49" s="26"/>
      <c r="R49" s="26"/>
      <c r="S49" s="26"/>
      <c r="T49" s="26"/>
      <c r="U49" s="26"/>
      <c r="V49" s="26"/>
      <c r="W49" s="26"/>
      <c r="X49" s="26"/>
      <c r="Y49" s="26"/>
      <c r="Z49" s="26"/>
      <c r="AA49" s="26"/>
      <c r="AB49" s="26"/>
      <c r="AC49" s="28"/>
    </row>
    <row r="50" spans="2:29" x14ac:dyDescent="0.3">
      <c r="N50" s="28"/>
      <c r="O50" s="15"/>
      <c r="P50" s="26"/>
      <c r="Q50" s="26"/>
      <c r="R50" s="26"/>
      <c r="S50" s="26"/>
      <c r="T50" s="26"/>
      <c r="U50" s="26"/>
      <c r="V50" s="26"/>
      <c r="W50" s="26"/>
      <c r="X50" s="26"/>
      <c r="Y50" s="26"/>
      <c r="Z50" s="26"/>
      <c r="AA50" s="26"/>
      <c r="AB50" s="26"/>
      <c r="AC50" s="28"/>
    </row>
    <row r="51" spans="2:29" x14ac:dyDescent="0.3">
      <c r="N51" s="28"/>
      <c r="O51" s="15"/>
      <c r="P51" s="26"/>
      <c r="Q51" s="26"/>
      <c r="R51" s="26"/>
      <c r="S51" s="26"/>
      <c r="T51" s="26"/>
      <c r="U51" s="26"/>
      <c r="V51" s="26"/>
      <c r="W51" s="26"/>
      <c r="X51" s="26"/>
      <c r="Y51" s="26"/>
      <c r="Z51" s="26"/>
      <c r="AA51" s="26"/>
      <c r="AB51" s="26"/>
      <c r="AC51" s="28"/>
    </row>
    <row r="52" spans="2:29" x14ac:dyDescent="0.3">
      <c r="B52" s="11"/>
      <c r="N52" s="28"/>
      <c r="O52" s="15"/>
      <c r="P52" s="26"/>
      <c r="Q52" s="26"/>
      <c r="R52" s="26"/>
      <c r="S52" s="26"/>
      <c r="T52" s="26"/>
      <c r="U52" s="26"/>
      <c r="V52" s="26"/>
      <c r="W52" s="26"/>
      <c r="X52" s="26"/>
      <c r="Y52" s="26"/>
      <c r="Z52" s="26"/>
      <c r="AA52" s="26"/>
      <c r="AB52" s="26"/>
      <c r="AC52" s="28"/>
    </row>
    <row r="53" spans="2:29" x14ac:dyDescent="0.3">
      <c r="B53" s="11"/>
      <c r="N53" s="28"/>
      <c r="O53" s="15"/>
      <c r="P53" s="26"/>
      <c r="Q53" s="26"/>
      <c r="R53" s="26"/>
      <c r="S53" s="26"/>
      <c r="T53" s="26"/>
      <c r="U53" s="26"/>
      <c r="V53" s="26"/>
      <c r="W53" s="26"/>
      <c r="X53" s="26"/>
      <c r="Y53" s="26"/>
      <c r="Z53" s="26"/>
      <c r="AA53" s="26"/>
      <c r="AB53" s="26"/>
      <c r="AC53" s="28"/>
    </row>
    <row r="54" spans="2:29" x14ac:dyDescent="0.3">
      <c r="B54" s="11"/>
      <c r="M54" s="30"/>
      <c r="N54" s="28"/>
      <c r="O54" s="27"/>
      <c r="P54" s="26"/>
      <c r="Q54" s="26"/>
      <c r="R54" s="26"/>
      <c r="S54" s="26"/>
      <c r="T54" s="26"/>
      <c r="U54" s="26"/>
      <c r="V54" s="26"/>
      <c r="W54" s="26"/>
      <c r="X54" s="26"/>
      <c r="Y54" s="26"/>
      <c r="Z54" s="26"/>
      <c r="AA54" s="26"/>
      <c r="AB54" s="26"/>
      <c r="AC54" s="28"/>
    </row>
    <row r="55" spans="2:29" x14ac:dyDescent="0.3">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35"/>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2" spans="2:29" x14ac:dyDescent="0.3">
      <c r="O62" s="11"/>
    </row>
    <row r="63" spans="2:29" x14ac:dyDescent="0.3">
      <c r="O63" s="11"/>
    </row>
    <row r="66" spans="2:15" x14ac:dyDescent="0.3">
      <c r="O66" s="8"/>
    </row>
    <row r="74" spans="2:15" x14ac:dyDescent="0.3">
      <c r="B74" s="1"/>
    </row>
    <row r="75" spans="2:15" x14ac:dyDescent="0.3">
      <c r="B75" s="65"/>
      <c r="C75" s="65"/>
      <c r="D75" s="65"/>
      <c r="E75" s="65"/>
      <c r="F75" s="65"/>
      <c r="G75" s="65"/>
      <c r="H75" s="65"/>
      <c r="I75" s="65"/>
      <c r="J75" s="65"/>
      <c r="K75" s="65"/>
      <c r="L75" s="65"/>
      <c r="N75" s="8"/>
    </row>
    <row r="76" spans="2:15" x14ac:dyDescent="0.3">
      <c r="C76" s="23"/>
    </row>
    <row r="77" spans="2:15" x14ac:dyDescent="0.3">
      <c r="C77" s="23"/>
    </row>
    <row r="78" spans="2:15" x14ac:dyDescent="0.3">
      <c r="C78" s="23"/>
    </row>
    <row r="79" spans="2:15" x14ac:dyDescent="0.3">
      <c r="C79" s="23"/>
    </row>
    <row r="80" spans="2:15" x14ac:dyDescent="0.3">
      <c r="C80" s="23"/>
    </row>
  </sheetData>
  <mergeCells count="1">
    <mergeCell ref="B75:L75"/>
  </mergeCells>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7C472-50B5-4A3F-9413-F0D9F494ED1F}">
  <dimension ref="B3:AC80"/>
  <sheetViews>
    <sheetView showGridLines="0" zoomScale="40" zoomScaleNormal="40" workbookViewId="0">
      <selection activeCell="M18" sqref="M18"/>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28.375"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97</v>
      </c>
    </row>
    <row r="21" spans="2:28" x14ac:dyDescent="0.3">
      <c r="C21" s="32" t="s">
        <v>130</v>
      </c>
      <c r="D21" s="33" t="s">
        <v>130</v>
      </c>
      <c r="E21" s="33" t="s">
        <v>131</v>
      </c>
    </row>
    <row r="22" spans="2:28" ht="27" x14ac:dyDescent="0.3">
      <c r="B22" s="4"/>
      <c r="C22" s="34">
        <v>46083</v>
      </c>
      <c r="D22" s="34">
        <v>46090</v>
      </c>
      <c r="E22" s="34">
        <v>46097</v>
      </c>
      <c r="F22" s="31" t="s">
        <v>135</v>
      </c>
      <c r="H22" s="9"/>
      <c r="J22" s="9"/>
      <c r="O22" s="6" t="s">
        <v>4</v>
      </c>
      <c r="P22" s="5">
        <v>46083</v>
      </c>
      <c r="Q22" s="5">
        <v>46090</v>
      </c>
      <c r="R22" s="5">
        <v>46097</v>
      </c>
      <c r="S22" s="7" t="s">
        <v>8</v>
      </c>
    </row>
    <row r="23" spans="2:28" x14ac:dyDescent="0.3">
      <c r="B23" s="4" t="s">
        <v>21</v>
      </c>
      <c r="C23" s="19">
        <v>45</v>
      </c>
      <c r="D23" s="19">
        <v>500</v>
      </c>
      <c r="E23" s="19">
        <v>350</v>
      </c>
      <c r="F23" s="19">
        <v>300</v>
      </c>
      <c r="H23" s="10"/>
      <c r="J23" s="1"/>
      <c r="O23" s="6" t="s">
        <v>1</v>
      </c>
      <c r="P23" s="2">
        <v>610</v>
      </c>
      <c r="Q23" s="2">
        <v>1450</v>
      </c>
      <c r="R23" s="2">
        <v>1350</v>
      </c>
      <c r="S23" s="3" t="s">
        <v>15</v>
      </c>
    </row>
    <row r="24" spans="2:28" x14ac:dyDescent="0.3">
      <c r="B24" s="4" t="s">
        <v>5</v>
      </c>
      <c r="C24" s="19">
        <v>50</v>
      </c>
      <c r="D24" s="19">
        <v>600</v>
      </c>
      <c r="E24" s="19">
        <v>800</v>
      </c>
      <c r="F24" s="19">
        <v>600</v>
      </c>
      <c r="H24" s="10"/>
      <c r="J24" s="1"/>
      <c r="O24" s="6" t="s">
        <v>0</v>
      </c>
      <c r="P24" s="2">
        <v>588</v>
      </c>
      <c r="Q24" s="2">
        <v>1130</v>
      </c>
      <c r="R24" s="2">
        <v>1100</v>
      </c>
      <c r="S24" s="3" t="s">
        <v>15</v>
      </c>
    </row>
    <row r="25" spans="2:28" x14ac:dyDescent="0.3">
      <c r="B25" s="4" t="s">
        <v>6</v>
      </c>
      <c r="C25" s="19">
        <v>40</v>
      </c>
      <c r="D25" s="19">
        <v>450</v>
      </c>
      <c r="E25" s="19">
        <v>350</v>
      </c>
      <c r="F25" s="19">
        <v>330</v>
      </c>
      <c r="H25" s="1"/>
      <c r="J25" s="1"/>
      <c r="O25" s="6" t="s">
        <v>2</v>
      </c>
      <c r="P25" s="2">
        <v>667</v>
      </c>
      <c r="Q25" s="2">
        <v>1350</v>
      </c>
      <c r="R25" s="2">
        <v>1300</v>
      </c>
      <c r="S25" s="3" t="s">
        <v>15</v>
      </c>
    </row>
    <row r="26" spans="2:28" x14ac:dyDescent="0.3">
      <c r="B26" s="4" t="s">
        <v>7</v>
      </c>
      <c r="C26" s="19">
        <v>65</v>
      </c>
      <c r="D26" s="19">
        <v>530</v>
      </c>
      <c r="E26" s="19">
        <v>450</v>
      </c>
      <c r="F26" s="19">
        <v>400</v>
      </c>
      <c r="H26" s="10"/>
      <c r="J26" s="10"/>
      <c r="O26" s="6" t="s">
        <v>3</v>
      </c>
      <c r="P26" s="2">
        <v>578</v>
      </c>
      <c r="Q26" s="2">
        <v>1100</v>
      </c>
      <c r="R26" s="2">
        <v>1050</v>
      </c>
      <c r="S26" s="3" t="s">
        <v>15</v>
      </c>
    </row>
    <row r="27" spans="2:28" x14ac:dyDescent="0.3">
      <c r="O27" s="6"/>
      <c r="P27" s="2"/>
      <c r="Q27" s="2"/>
      <c r="R27" s="2"/>
      <c r="S27" s="2"/>
    </row>
    <row r="28" spans="2:28" x14ac:dyDescent="0.3">
      <c r="B28" s="12" t="s">
        <v>16</v>
      </c>
    </row>
    <row r="29" spans="2:28" ht="21" customHeight="1" x14ac:dyDescent="0.3">
      <c r="B29" s="11" t="s">
        <v>152</v>
      </c>
      <c r="O29" s="14" t="s">
        <v>35</v>
      </c>
      <c r="P29" s="15"/>
      <c r="Q29" s="15"/>
      <c r="R29" s="15"/>
      <c r="S29" s="15"/>
      <c r="T29" s="15"/>
      <c r="U29" s="15"/>
      <c r="V29" s="15"/>
      <c r="W29" s="15"/>
      <c r="X29" s="15"/>
      <c r="Y29" s="15"/>
      <c r="Z29" s="15"/>
      <c r="AA29" s="15"/>
      <c r="AB29" s="15"/>
    </row>
    <row r="30" spans="2:28" x14ac:dyDescent="0.3">
      <c r="B30" s="11" t="s">
        <v>153</v>
      </c>
      <c r="O30" s="16" t="s">
        <v>50</v>
      </c>
      <c r="P30" s="15"/>
      <c r="Q30" s="15"/>
      <c r="R30" s="15"/>
      <c r="S30" s="15"/>
      <c r="T30" s="15"/>
      <c r="U30" s="15"/>
      <c r="V30" s="15"/>
      <c r="W30" s="15"/>
      <c r="X30" s="15"/>
      <c r="Y30" s="15"/>
      <c r="Z30" s="15"/>
      <c r="AA30" s="15"/>
      <c r="AB30" s="15"/>
    </row>
    <row r="31" spans="2:28" x14ac:dyDescent="0.3">
      <c r="B31" s="11" t="s">
        <v>154</v>
      </c>
      <c r="O31" s="17" t="s">
        <v>162</v>
      </c>
      <c r="P31" s="15"/>
      <c r="Q31" s="15"/>
      <c r="R31" s="15"/>
      <c r="S31" s="15"/>
      <c r="T31" s="15"/>
      <c r="U31" s="15"/>
      <c r="V31" s="15"/>
      <c r="W31" s="15"/>
      <c r="X31" s="15"/>
      <c r="Y31" s="15"/>
      <c r="Z31" s="15"/>
      <c r="AA31" s="15"/>
      <c r="AB31" s="15"/>
    </row>
    <row r="32" spans="2:28" ht="13.9" customHeight="1" x14ac:dyDescent="0.3">
      <c r="O32" s="17" t="s">
        <v>155</v>
      </c>
      <c r="P32" s="15"/>
      <c r="Q32" s="15"/>
      <c r="R32" s="15"/>
      <c r="S32" s="15"/>
      <c r="T32" s="15"/>
      <c r="U32" s="15"/>
      <c r="V32" s="15"/>
      <c r="W32" s="15"/>
      <c r="X32" s="15"/>
      <c r="Y32" s="15"/>
      <c r="Z32" s="15"/>
      <c r="AA32" s="15"/>
      <c r="AB32" s="15"/>
    </row>
    <row r="33" spans="2:29" x14ac:dyDescent="0.3">
      <c r="B33" s="12" t="s">
        <v>148</v>
      </c>
      <c r="O33" s="17" t="s">
        <v>156</v>
      </c>
      <c r="P33" s="15"/>
      <c r="Q33" s="15"/>
      <c r="R33" s="15"/>
      <c r="S33" s="15"/>
      <c r="T33" s="15"/>
      <c r="U33" s="15"/>
      <c r="V33" s="15"/>
      <c r="W33" s="15"/>
      <c r="X33" s="15"/>
      <c r="Y33" s="15"/>
      <c r="Z33" s="15"/>
      <c r="AA33" s="15"/>
      <c r="AB33" s="15"/>
    </row>
    <row r="34" spans="2:29" x14ac:dyDescent="0.3">
      <c r="B34" s="20" t="s">
        <v>99</v>
      </c>
      <c r="C34" s="21"/>
      <c r="O34" s="14" t="s">
        <v>40</v>
      </c>
      <c r="P34" s="15"/>
      <c r="Q34" s="15"/>
      <c r="R34" s="15"/>
      <c r="S34" s="15"/>
      <c r="T34" s="15"/>
      <c r="U34" s="15"/>
      <c r="V34" s="15"/>
      <c r="W34" s="15"/>
      <c r="X34" s="15"/>
      <c r="Y34" s="15"/>
      <c r="Z34" s="15"/>
      <c r="AA34" s="15"/>
      <c r="AB34" s="15"/>
    </row>
    <row r="35" spans="2:29" x14ac:dyDescent="0.3">
      <c r="B35" s="20" t="s">
        <v>100</v>
      </c>
      <c r="C35" s="21"/>
      <c r="O35" s="17" t="s">
        <v>157</v>
      </c>
      <c r="P35" s="15"/>
      <c r="Q35" s="15"/>
      <c r="R35" s="15"/>
      <c r="S35" s="15"/>
      <c r="T35" s="15"/>
      <c r="U35" s="15"/>
      <c r="V35" s="15"/>
      <c r="W35" s="15"/>
      <c r="X35" s="15"/>
      <c r="Y35" s="15"/>
      <c r="Z35" s="15"/>
      <c r="AA35" s="15"/>
      <c r="AB35" s="15"/>
    </row>
    <row r="36" spans="2:29" x14ac:dyDescent="0.3">
      <c r="B36" s="20" t="s">
        <v>9</v>
      </c>
      <c r="C36" s="21"/>
      <c r="O36" s="17" t="s">
        <v>158</v>
      </c>
      <c r="P36" s="15"/>
      <c r="Q36" s="15"/>
      <c r="R36" s="15"/>
      <c r="S36" s="15"/>
      <c r="T36" s="15"/>
      <c r="U36" s="15"/>
      <c r="V36" s="15"/>
      <c r="W36" s="15"/>
      <c r="X36" s="15"/>
      <c r="Y36" s="15"/>
      <c r="Z36" s="15"/>
      <c r="AA36" s="15"/>
      <c r="AB36" s="15"/>
    </row>
    <row r="37" spans="2:29" x14ac:dyDescent="0.3">
      <c r="B37" s="20" t="s">
        <v>101</v>
      </c>
      <c r="C37" s="21"/>
      <c r="O37" s="17"/>
      <c r="P37" s="15"/>
      <c r="Q37" s="15"/>
      <c r="R37" s="15"/>
      <c r="S37" s="15"/>
      <c r="T37" s="15"/>
      <c r="U37" s="15"/>
      <c r="V37" s="15"/>
      <c r="W37" s="15"/>
      <c r="X37" s="15"/>
      <c r="Y37" s="15"/>
      <c r="Z37" s="15"/>
      <c r="AA37" s="15"/>
      <c r="AB37" s="15"/>
    </row>
    <row r="38" spans="2:29" x14ac:dyDescent="0.3">
      <c r="B38" s="20" t="s">
        <v>10</v>
      </c>
      <c r="C38" s="21"/>
      <c r="O38" s="14" t="s">
        <v>44</v>
      </c>
      <c r="P38" s="15"/>
      <c r="Q38" s="15"/>
      <c r="R38" s="15"/>
      <c r="S38" s="15"/>
      <c r="T38" s="15"/>
      <c r="U38" s="15"/>
      <c r="V38" s="15"/>
      <c r="W38" s="15"/>
      <c r="X38" s="15"/>
      <c r="Y38" s="15"/>
      <c r="Z38" s="15"/>
      <c r="AA38" s="15"/>
      <c r="AB38" s="15"/>
    </row>
    <row r="39" spans="2:29" ht="18" customHeight="1" x14ac:dyDescent="0.3">
      <c r="B39" s="29" t="s">
        <v>132</v>
      </c>
      <c r="O39" s="17" t="s">
        <v>114</v>
      </c>
      <c r="P39" s="15"/>
      <c r="Q39" s="15"/>
      <c r="R39" s="15"/>
      <c r="S39" s="15"/>
      <c r="T39" s="15"/>
      <c r="U39" s="15"/>
      <c r="V39" s="15"/>
      <c r="W39" s="15"/>
      <c r="X39" s="15"/>
      <c r="Y39" s="15"/>
      <c r="Z39" s="15"/>
      <c r="AA39" s="15"/>
      <c r="AB39" s="15"/>
    </row>
    <row r="40" spans="2:29" ht="12.6" customHeight="1" x14ac:dyDescent="0.3">
      <c r="O40" s="17" t="s">
        <v>159</v>
      </c>
      <c r="P40" s="15"/>
      <c r="Q40" s="15"/>
      <c r="R40" s="15"/>
      <c r="S40" s="15"/>
      <c r="T40" s="15"/>
      <c r="U40" s="15"/>
      <c r="V40" s="15"/>
      <c r="W40" s="15"/>
      <c r="X40" s="15"/>
      <c r="Y40" s="15"/>
      <c r="Z40" s="15"/>
      <c r="AA40" s="15"/>
      <c r="AB40" s="15"/>
    </row>
    <row r="41" spans="2:29" x14ac:dyDescent="0.3">
      <c r="B41" s="12" t="s">
        <v>17</v>
      </c>
      <c r="P41" s="15"/>
      <c r="Q41" s="15"/>
      <c r="R41" s="15"/>
      <c r="S41" s="15"/>
      <c r="T41" s="15"/>
      <c r="U41" s="15"/>
      <c r="V41" s="15"/>
      <c r="W41" s="15"/>
      <c r="X41" s="15"/>
      <c r="Y41" s="15"/>
      <c r="Z41" s="15"/>
      <c r="AA41" s="15"/>
      <c r="AB41" s="15"/>
    </row>
    <row r="42" spans="2:29" x14ac:dyDescent="0.3">
      <c r="B42" s="20" t="s">
        <v>163</v>
      </c>
      <c r="C42" s="21"/>
      <c r="D42" s="21"/>
      <c r="E42" s="21"/>
      <c r="F42" s="21"/>
      <c r="G42" s="21"/>
      <c r="H42" s="21"/>
      <c r="I42" s="21"/>
      <c r="J42" s="21"/>
      <c r="K42" s="21"/>
      <c r="O42" s="14" t="s">
        <v>47</v>
      </c>
      <c r="P42" s="15"/>
      <c r="Q42" s="15"/>
      <c r="R42" s="15"/>
      <c r="S42" s="15"/>
      <c r="T42" s="15"/>
      <c r="U42" s="15"/>
      <c r="V42" s="15"/>
      <c r="W42" s="15"/>
      <c r="X42" s="15"/>
      <c r="Y42" s="15"/>
      <c r="Z42" s="15"/>
      <c r="AA42" s="15"/>
      <c r="AB42" s="15"/>
    </row>
    <row r="43" spans="2:29" x14ac:dyDescent="0.3">
      <c r="B43" s="20" t="s">
        <v>164</v>
      </c>
      <c r="C43" s="21"/>
      <c r="D43" s="21"/>
      <c r="E43" s="21"/>
      <c r="F43" s="21"/>
      <c r="G43" s="21"/>
      <c r="H43" s="21"/>
      <c r="I43" s="21"/>
      <c r="J43" s="21"/>
      <c r="K43" s="21"/>
      <c r="O43" s="17" t="s">
        <v>160</v>
      </c>
      <c r="P43" s="15"/>
      <c r="Q43" s="15"/>
      <c r="R43" s="15"/>
      <c r="S43" s="15"/>
      <c r="T43" s="15"/>
      <c r="U43" s="15"/>
      <c r="V43" s="15"/>
      <c r="W43" s="15"/>
      <c r="X43" s="15"/>
      <c r="Y43" s="15"/>
      <c r="Z43" s="15"/>
      <c r="AA43" s="15"/>
      <c r="AB43" s="15"/>
    </row>
    <row r="44" spans="2:29" x14ac:dyDescent="0.3">
      <c r="B44" s="20" t="s">
        <v>165</v>
      </c>
      <c r="C44" s="21"/>
      <c r="D44" s="21"/>
      <c r="E44" s="21"/>
      <c r="F44" s="21"/>
      <c r="G44" s="21"/>
      <c r="H44" s="21"/>
      <c r="I44" s="21"/>
      <c r="J44" s="21"/>
      <c r="K44" s="21"/>
      <c r="O44" s="17" t="s">
        <v>161</v>
      </c>
      <c r="P44" s="15"/>
      <c r="Q44" s="15"/>
      <c r="R44" s="15"/>
      <c r="S44" s="15"/>
      <c r="T44" s="15"/>
      <c r="U44" s="15"/>
      <c r="V44" s="15"/>
      <c r="W44" s="15"/>
      <c r="X44" s="15"/>
      <c r="Y44" s="15"/>
      <c r="Z44" s="15"/>
      <c r="AA44" s="15"/>
      <c r="AB44" s="15"/>
    </row>
    <row r="45" spans="2:29" x14ac:dyDescent="0.3">
      <c r="P45" s="15"/>
      <c r="Q45" s="15"/>
      <c r="R45" s="15"/>
      <c r="S45" s="15"/>
      <c r="T45" s="15"/>
      <c r="U45" s="15"/>
      <c r="V45" s="15"/>
      <c r="W45" s="15"/>
      <c r="X45" s="15"/>
      <c r="Y45" s="15"/>
      <c r="Z45" s="15"/>
      <c r="AA45" s="15"/>
      <c r="AB45" s="15"/>
    </row>
    <row r="46" spans="2:29" x14ac:dyDescent="0.3">
      <c r="O46" s="17"/>
      <c r="P46" s="15"/>
      <c r="Q46" s="15"/>
      <c r="R46" s="15"/>
      <c r="S46" s="15"/>
      <c r="T46" s="15"/>
      <c r="U46" s="15"/>
      <c r="V46" s="15"/>
      <c r="W46" s="15"/>
      <c r="X46" s="15"/>
      <c r="Y46" s="15"/>
      <c r="Z46" s="15"/>
      <c r="AA46" s="15"/>
      <c r="AB46" s="15"/>
    </row>
    <row r="47" spans="2:29" x14ac:dyDescent="0.3">
      <c r="B47" s="1" t="s">
        <v>98</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t="s">
        <v>51</v>
      </c>
      <c r="P49" s="26"/>
      <c r="Q49" s="26"/>
      <c r="R49" s="26"/>
      <c r="S49" s="26"/>
      <c r="T49" s="26"/>
      <c r="U49" s="26"/>
      <c r="V49" s="26"/>
      <c r="W49" s="26"/>
      <c r="X49" s="26"/>
      <c r="Y49" s="26"/>
      <c r="Z49" s="26"/>
      <c r="AA49" s="26"/>
      <c r="AB49" s="26"/>
      <c r="AC49" s="28"/>
    </row>
    <row r="50" spans="2:29" x14ac:dyDescent="0.3">
      <c r="N50" s="28"/>
      <c r="O50" s="15" t="s">
        <v>76</v>
      </c>
      <c r="P50" s="26"/>
      <c r="Q50" s="26"/>
      <c r="R50" s="26"/>
      <c r="S50" s="26"/>
      <c r="T50" s="26"/>
      <c r="U50" s="26"/>
      <c r="V50" s="26"/>
      <c r="W50" s="26"/>
      <c r="X50" s="26"/>
      <c r="Y50" s="26"/>
      <c r="Z50" s="26"/>
      <c r="AA50" s="26"/>
      <c r="AB50" s="26"/>
      <c r="AC50" s="28"/>
    </row>
    <row r="51" spans="2:29" x14ac:dyDescent="0.3">
      <c r="N51" s="28"/>
      <c r="O51" s="15" t="s">
        <v>77</v>
      </c>
      <c r="P51" s="26"/>
      <c r="Q51" s="26"/>
      <c r="R51" s="26"/>
      <c r="S51" s="26"/>
      <c r="T51" s="26"/>
      <c r="U51" s="26"/>
      <c r="V51" s="26"/>
      <c r="W51" s="26"/>
      <c r="X51" s="26"/>
      <c r="Y51" s="26"/>
      <c r="Z51" s="26"/>
      <c r="AA51" s="26"/>
      <c r="AB51" s="26"/>
      <c r="AC51" s="28"/>
    </row>
    <row r="52" spans="2:29" x14ac:dyDescent="0.3">
      <c r="B52" s="11"/>
      <c r="N52" s="28"/>
      <c r="O52" s="15" t="s">
        <v>78</v>
      </c>
      <c r="P52" s="26"/>
      <c r="Q52" s="26"/>
      <c r="R52" s="26"/>
      <c r="S52" s="26"/>
      <c r="T52" s="26"/>
      <c r="U52" s="26"/>
      <c r="V52" s="26"/>
      <c r="W52" s="26"/>
      <c r="X52" s="26"/>
      <c r="Y52" s="26"/>
      <c r="Z52" s="26"/>
      <c r="AA52" s="26"/>
      <c r="AB52" s="26"/>
      <c r="AC52" s="28"/>
    </row>
    <row r="53" spans="2:29" x14ac:dyDescent="0.3">
      <c r="B53" s="11"/>
      <c r="N53" s="28"/>
      <c r="O53" s="15" t="s">
        <v>79</v>
      </c>
      <c r="P53" s="26"/>
      <c r="Q53" s="26"/>
      <c r="R53" s="26"/>
      <c r="S53" s="26"/>
      <c r="T53" s="26"/>
      <c r="U53" s="26"/>
      <c r="V53" s="26"/>
      <c r="W53" s="26"/>
      <c r="X53" s="26"/>
      <c r="Y53" s="26"/>
      <c r="Z53" s="26"/>
      <c r="AA53" s="26"/>
      <c r="AB53" s="26"/>
      <c r="AC53" s="28"/>
    </row>
    <row r="54" spans="2:29" x14ac:dyDescent="0.3">
      <c r="B54" s="11"/>
      <c r="M54" s="30"/>
      <c r="N54" s="28"/>
      <c r="O54" s="27"/>
      <c r="P54" s="26"/>
      <c r="Q54" s="26"/>
      <c r="R54" s="26"/>
      <c r="S54" s="26"/>
      <c r="T54" s="26"/>
      <c r="U54" s="26"/>
      <c r="V54" s="26"/>
      <c r="W54" s="26"/>
      <c r="X54" s="26"/>
      <c r="Y54" s="26"/>
      <c r="Z54" s="26"/>
      <c r="AA54" s="26"/>
      <c r="AB54" s="26"/>
      <c r="AC54" s="28"/>
    </row>
    <row r="55" spans="2:29" x14ac:dyDescent="0.3">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35"/>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2" spans="2:29" x14ac:dyDescent="0.3">
      <c r="O62" s="11"/>
    </row>
    <row r="63" spans="2:29" x14ac:dyDescent="0.3">
      <c r="O63" s="11"/>
    </row>
    <row r="66" spans="2:15" x14ac:dyDescent="0.3">
      <c r="O66" s="8"/>
    </row>
    <row r="74" spans="2:15" x14ac:dyDescent="0.3">
      <c r="B74" s="1"/>
    </row>
    <row r="75" spans="2:15" x14ac:dyDescent="0.3">
      <c r="B75" s="65"/>
      <c r="C75" s="65"/>
      <c r="D75" s="65"/>
      <c r="E75" s="65"/>
      <c r="F75" s="65"/>
      <c r="G75" s="65"/>
      <c r="H75" s="65"/>
      <c r="I75" s="65"/>
      <c r="J75" s="65"/>
      <c r="K75" s="65"/>
      <c r="L75" s="65"/>
      <c r="N75" s="8"/>
    </row>
    <row r="76" spans="2:15" x14ac:dyDescent="0.3">
      <c r="C76" s="23"/>
    </row>
    <row r="77" spans="2:15" x14ac:dyDescent="0.3">
      <c r="C77" s="23"/>
    </row>
    <row r="78" spans="2:15" x14ac:dyDescent="0.3">
      <c r="C78" s="23"/>
    </row>
    <row r="79" spans="2:15" x14ac:dyDescent="0.3">
      <c r="C79" s="23"/>
    </row>
    <row r="80" spans="2:15" x14ac:dyDescent="0.3">
      <c r="C80" s="23"/>
    </row>
  </sheetData>
  <mergeCells count="1">
    <mergeCell ref="B75:L75"/>
  </mergeCells>
  <phoneticPr fontId="1"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EE9D-EB5A-47E8-B50D-CFE6CAAF9C7D}">
  <dimension ref="B3:AC80"/>
  <sheetViews>
    <sheetView showGridLines="0" topLeftCell="A10" zoomScale="70" zoomScaleNormal="70" workbookViewId="0">
      <selection activeCell="L10" sqref="L10"/>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28.375"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97</v>
      </c>
    </row>
    <row r="21" spans="2:28" x14ac:dyDescent="0.3">
      <c r="C21" s="32" t="s">
        <v>130</v>
      </c>
      <c r="D21" s="33" t="s">
        <v>130</v>
      </c>
      <c r="E21" s="33" t="s">
        <v>131</v>
      </c>
    </row>
    <row r="22" spans="2:28" ht="55.5" x14ac:dyDescent="0.3">
      <c r="B22" s="4"/>
      <c r="C22" s="34" t="s">
        <v>137</v>
      </c>
      <c r="D22" s="34" t="s">
        <v>138</v>
      </c>
      <c r="E22" s="34" t="s">
        <v>140</v>
      </c>
      <c r="F22" s="31" t="s">
        <v>135</v>
      </c>
      <c r="H22" s="9"/>
      <c r="J22" s="9"/>
      <c r="O22" s="6" t="s">
        <v>4</v>
      </c>
      <c r="P22" s="5">
        <v>46069</v>
      </c>
      <c r="Q22" s="5">
        <v>46076</v>
      </c>
      <c r="R22" s="5">
        <v>46083</v>
      </c>
      <c r="S22" s="7" t="s">
        <v>8</v>
      </c>
    </row>
    <row r="23" spans="2:28" x14ac:dyDescent="0.3">
      <c r="B23" s="4" t="s">
        <v>21</v>
      </c>
      <c r="C23" s="4">
        <v>36</v>
      </c>
      <c r="D23" s="4">
        <v>25</v>
      </c>
      <c r="E23" s="19">
        <v>45</v>
      </c>
      <c r="F23" s="19">
        <v>45</v>
      </c>
      <c r="H23" s="10"/>
      <c r="J23" s="1"/>
      <c r="O23" s="6" t="s">
        <v>1</v>
      </c>
      <c r="P23" s="2">
        <v>490</v>
      </c>
      <c r="Q23" s="2">
        <v>470</v>
      </c>
      <c r="R23" s="2">
        <v>610</v>
      </c>
      <c r="S23" s="3" t="s">
        <v>15</v>
      </c>
    </row>
    <row r="24" spans="2:28" x14ac:dyDescent="0.3">
      <c r="B24" s="4" t="s">
        <v>5</v>
      </c>
      <c r="C24" s="4">
        <v>35</v>
      </c>
      <c r="D24" s="4">
        <v>25</v>
      </c>
      <c r="E24" s="19">
        <v>50</v>
      </c>
      <c r="F24" s="19">
        <v>50</v>
      </c>
      <c r="H24" s="10"/>
      <c r="J24" s="1"/>
      <c r="O24" s="6" t="s">
        <v>0</v>
      </c>
      <c r="P24" s="2">
        <v>475</v>
      </c>
      <c r="Q24" s="2">
        <v>506</v>
      </c>
      <c r="R24" s="2">
        <v>588</v>
      </c>
      <c r="S24" s="3" t="s">
        <v>15</v>
      </c>
    </row>
    <row r="25" spans="2:28" x14ac:dyDescent="0.3">
      <c r="B25" s="4" t="s">
        <v>6</v>
      </c>
      <c r="C25" s="4">
        <v>33</v>
      </c>
      <c r="D25" s="4">
        <v>25</v>
      </c>
      <c r="E25" s="19">
        <v>40</v>
      </c>
      <c r="F25" s="19">
        <v>40</v>
      </c>
      <c r="H25" s="1"/>
      <c r="J25" s="1"/>
      <c r="O25" s="6" t="s">
        <v>2</v>
      </c>
      <c r="P25" s="2">
        <v>563</v>
      </c>
      <c r="Q25" s="2">
        <v>595</v>
      </c>
      <c r="R25" s="2">
        <v>667</v>
      </c>
      <c r="S25" s="3" t="s">
        <v>15</v>
      </c>
    </row>
    <row r="26" spans="2:28" x14ac:dyDescent="0.3">
      <c r="B26" s="4" t="s">
        <v>7</v>
      </c>
      <c r="C26" s="4">
        <v>50</v>
      </c>
      <c r="D26" s="4">
        <v>45</v>
      </c>
      <c r="E26" s="19">
        <v>65</v>
      </c>
      <c r="F26" s="19">
        <v>65</v>
      </c>
      <c r="H26" s="10"/>
      <c r="J26" s="10"/>
      <c r="O26" s="6" t="s">
        <v>3</v>
      </c>
      <c r="P26" s="2">
        <v>498</v>
      </c>
      <c r="Q26" s="2">
        <v>515</v>
      </c>
      <c r="R26" s="2">
        <v>578</v>
      </c>
      <c r="S26" s="3" t="s">
        <v>15</v>
      </c>
    </row>
    <row r="27" spans="2:28" x14ac:dyDescent="0.3">
      <c r="O27" s="6"/>
      <c r="P27" s="2"/>
      <c r="Q27" s="2"/>
      <c r="R27" s="2"/>
      <c r="S27" s="2"/>
    </row>
    <row r="28" spans="2:28" x14ac:dyDescent="0.3">
      <c r="B28" s="12" t="s">
        <v>16</v>
      </c>
    </row>
    <row r="29" spans="2:28" ht="21" customHeight="1" x14ac:dyDescent="0.3">
      <c r="B29" s="11" t="s">
        <v>146</v>
      </c>
      <c r="O29" s="14" t="s">
        <v>35</v>
      </c>
      <c r="P29" s="15"/>
      <c r="Q29" s="15"/>
      <c r="R29" s="15"/>
      <c r="S29" s="15"/>
      <c r="T29" s="15"/>
      <c r="U29" s="15"/>
      <c r="V29" s="15"/>
      <c r="W29" s="15"/>
      <c r="X29" s="15"/>
      <c r="Y29" s="15"/>
      <c r="Z29" s="15"/>
      <c r="AA29" s="15"/>
      <c r="AB29" s="15"/>
    </row>
    <row r="30" spans="2:28" x14ac:dyDescent="0.3">
      <c r="B30" s="11" t="s">
        <v>127</v>
      </c>
      <c r="O30" s="16" t="s">
        <v>50</v>
      </c>
      <c r="P30" s="15"/>
      <c r="Q30" s="15"/>
      <c r="R30" s="15"/>
      <c r="S30" s="15"/>
      <c r="T30" s="15"/>
      <c r="U30" s="15"/>
      <c r="V30" s="15"/>
      <c r="W30" s="15"/>
      <c r="X30" s="15"/>
      <c r="Y30" s="15"/>
      <c r="Z30" s="15"/>
      <c r="AA30" s="15"/>
      <c r="AB30" s="15"/>
    </row>
    <row r="31" spans="2:28" x14ac:dyDescent="0.3">
      <c r="B31" s="11" t="s">
        <v>107</v>
      </c>
      <c r="O31" s="17" t="s">
        <v>147</v>
      </c>
      <c r="P31" s="15"/>
      <c r="Q31" s="15"/>
      <c r="R31" s="15"/>
      <c r="S31" s="15"/>
      <c r="T31" s="15"/>
      <c r="U31" s="15"/>
      <c r="V31" s="15"/>
      <c r="W31" s="15"/>
      <c r="X31" s="15"/>
      <c r="Y31" s="15"/>
      <c r="Z31" s="15"/>
      <c r="AA31" s="15"/>
      <c r="AB31" s="15"/>
    </row>
    <row r="32" spans="2:28" ht="13.9" customHeight="1" x14ac:dyDescent="0.3">
      <c r="O32" s="17" t="s">
        <v>142</v>
      </c>
      <c r="P32" s="15"/>
      <c r="Q32" s="15"/>
      <c r="R32" s="15"/>
      <c r="S32" s="15"/>
      <c r="T32" s="15"/>
      <c r="U32" s="15"/>
      <c r="V32" s="15"/>
      <c r="W32" s="15"/>
      <c r="X32" s="15"/>
      <c r="Y32" s="15"/>
      <c r="Z32" s="15"/>
      <c r="AA32" s="15"/>
      <c r="AB32" s="15"/>
    </row>
    <row r="33" spans="2:29" x14ac:dyDescent="0.3">
      <c r="B33" s="12" t="s">
        <v>148</v>
      </c>
      <c r="O33" s="17" t="s">
        <v>143</v>
      </c>
      <c r="P33" s="15"/>
      <c r="Q33" s="15"/>
      <c r="R33" s="15"/>
      <c r="S33" s="15"/>
      <c r="T33" s="15"/>
      <c r="U33" s="15"/>
      <c r="V33" s="15"/>
      <c r="W33" s="15"/>
      <c r="X33" s="15"/>
      <c r="Y33" s="15"/>
      <c r="Z33" s="15"/>
      <c r="AA33" s="15"/>
      <c r="AB33" s="15"/>
    </row>
    <row r="34" spans="2:29" x14ac:dyDescent="0.3">
      <c r="B34" s="20" t="s">
        <v>99</v>
      </c>
      <c r="C34" s="21"/>
      <c r="O34" s="14" t="s">
        <v>40</v>
      </c>
      <c r="P34" s="15"/>
      <c r="Q34" s="15"/>
      <c r="R34" s="15"/>
      <c r="S34" s="15"/>
      <c r="T34" s="15"/>
      <c r="U34" s="15"/>
      <c r="V34" s="15"/>
      <c r="W34" s="15"/>
      <c r="X34" s="15"/>
      <c r="Y34" s="15"/>
      <c r="Z34" s="15"/>
      <c r="AA34" s="15"/>
      <c r="AB34" s="15"/>
    </row>
    <row r="35" spans="2:29" x14ac:dyDescent="0.3">
      <c r="B35" s="20" t="s">
        <v>100</v>
      </c>
      <c r="C35" s="21"/>
      <c r="O35" s="17" t="s">
        <v>141</v>
      </c>
      <c r="P35" s="15"/>
      <c r="Q35" s="15"/>
      <c r="R35" s="15"/>
      <c r="S35" s="15"/>
      <c r="T35" s="15"/>
      <c r="U35" s="15"/>
      <c r="V35" s="15"/>
      <c r="W35" s="15"/>
      <c r="X35" s="15"/>
      <c r="Y35" s="15"/>
      <c r="Z35" s="15"/>
      <c r="AA35" s="15"/>
      <c r="AB35" s="15"/>
    </row>
    <row r="36" spans="2:29" x14ac:dyDescent="0.3">
      <c r="B36" s="20" t="s">
        <v>9</v>
      </c>
      <c r="C36" s="21"/>
      <c r="O36" s="17" t="s">
        <v>144</v>
      </c>
      <c r="P36" s="15"/>
      <c r="Q36" s="15"/>
      <c r="R36" s="15"/>
      <c r="S36" s="15"/>
      <c r="T36" s="15"/>
      <c r="U36" s="15"/>
      <c r="V36" s="15"/>
      <c r="W36" s="15"/>
      <c r="X36" s="15"/>
      <c r="Y36" s="15"/>
      <c r="Z36" s="15"/>
      <c r="AA36" s="15"/>
      <c r="AB36" s="15"/>
    </row>
    <row r="37" spans="2:29" x14ac:dyDescent="0.3">
      <c r="B37" s="20" t="s">
        <v>101</v>
      </c>
      <c r="C37" s="21"/>
      <c r="O37" s="17" t="s">
        <v>145</v>
      </c>
      <c r="P37" s="15"/>
      <c r="Q37" s="15"/>
      <c r="R37" s="15"/>
      <c r="S37" s="15"/>
      <c r="T37" s="15"/>
      <c r="U37" s="15"/>
      <c r="V37" s="15"/>
      <c r="W37" s="15"/>
      <c r="X37" s="15"/>
      <c r="Y37" s="15"/>
      <c r="Z37" s="15"/>
      <c r="AA37" s="15"/>
      <c r="AB37" s="15"/>
    </row>
    <row r="38" spans="2:29" x14ac:dyDescent="0.3">
      <c r="B38" s="20" t="s">
        <v>10</v>
      </c>
      <c r="C38" s="21"/>
      <c r="P38" s="15"/>
      <c r="Q38" s="15"/>
      <c r="R38" s="15"/>
      <c r="S38" s="15"/>
      <c r="T38" s="15"/>
      <c r="U38" s="15"/>
      <c r="V38" s="15"/>
      <c r="W38" s="15"/>
      <c r="X38" s="15"/>
      <c r="Y38" s="15"/>
      <c r="Z38" s="15"/>
      <c r="AA38" s="15"/>
      <c r="AB38" s="15"/>
    </row>
    <row r="39" spans="2:29" ht="18" customHeight="1" x14ac:dyDescent="0.3">
      <c r="B39" s="29" t="s">
        <v>132</v>
      </c>
      <c r="O39" s="14" t="s">
        <v>44</v>
      </c>
      <c r="P39" s="15"/>
      <c r="Q39" s="15"/>
      <c r="R39" s="15"/>
      <c r="S39" s="15"/>
      <c r="T39" s="15"/>
      <c r="U39" s="15"/>
      <c r="V39" s="15"/>
      <c r="W39" s="15"/>
      <c r="X39" s="15"/>
      <c r="Y39" s="15"/>
      <c r="Z39" s="15"/>
      <c r="AA39" s="15"/>
      <c r="AB39" s="15"/>
    </row>
    <row r="40" spans="2:29" ht="12.6" customHeight="1" x14ac:dyDescent="0.3">
      <c r="O40" s="17" t="s">
        <v>114</v>
      </c>
      <c r="P40" s="15"/>
      <c r="Q40" s="15"/>
      <c r="R40" s="15"/>
      <c r="S40" s="15"/>
      <c r="T40" s="15"/>
      <c r="U40" s="15"/>
      <c r="V40" s="15"/>
      <c r="W40" s="15"/>
      <c r="X40" s="15"/>
      <c r="Y40" s="15"/>
      <c r="Z40" s="15"/>
      <c r="AA40" s="15"/>
      <c r="AB40" s="15"/>
    </row>
    <row r="41" spans="2:29" x14ac:dyDescent="0.3">
      <c r="B41" s="12" t="s">
        <v>17</v>
      </c>
      <c r="O41" s="17" t="s">
        <v>67</v>
      </c>
      <c r="P41" s="15"/>
      <c r="Q41" s="15"/>
      <c r="R41" s="15"/>
      <c r="S41" s="15"/>
      <c r="T41" s="15"/>
      <c r="U41" s="15"/>
      <c r="V41" s="15"/>
      <c r="W41" s="15"/>
      <c r="X41" s="15"/>
      <c r="Y41" s="15"/>
      <c r="Z41" s="15"/>
      <c r="AA41" s="15"/>
      <c r="AB41" s="15"/>
    </row>
    <row r="42" spans="2:29" x14ac:dyDescent="0.3">
      <c r="B42" s="20" t="s">
        <v>149</v>
      </c>
      <c r="C42" s="21"/>
      <c r="D42" s="21"/>
      <c r="E42" s="21"/>
      <c r="F42" s="21"/>
      <c r="G42" s="21"/>
      <c r="H42" s="21"/>
      <c r="I42" s="21"/>
      <c r="J42" s="21"/>
      <c r="K42" s="21"/>
      <c r="O42" s="17"/>
      <c r="P42" s="15"/>
      <c r="Q42" s="15"/>
      <c r="R42" s="15"/>
      <c r="S42" s="15"/>
      <c r="T42" s="15"/>
      <c r="U42" s="15"/>
      <c r="V42" s="15"/>
      <c r="W42" s="15"/>
      <c r="X42" s="15"/>
      <c r="Y42" s="15"/>
      <c r="Z42" s="15"/>
      <c r="AA42" s="15"/>
      <c r="AB42" s="15"/>
    </row>
    <row r="43" spans="2:29" x14ac:dyDescent="0.3">
      <c r="B43" s="20" t="s">
        <v>150</v>
      </c>
      <c r="C43" s="21"/>
      <c r="D43" s="21"/>
      <c r="E43" s="21"/>
      <c r="F43" s="21"/>
      <c r="G43" s="21"/>
      <c r="H43" s="21"/>
      <c r="I43" s="21"/>
      <c r="J43" s="21"/>
      <c r="K43" s="21"/>
      <c r="O43" s="14" t="s">
        <v>47</v>
      </c>
      <c r="P43" s="15"/>
      <c r="Q43" s="15"/>
      <c r="R43" s="15"/>
      <c r="S43" s="15"/>
      <c r="T43" s="15"/>
      <c r="U43" s="15"/>
      <c r="V43" s="15"/>
      <c r="W43" s="15"/>
      <c r="X43" s="15"/>
      <c r="Y43" s="15"/>
      <c r="Z43" s="15"/>
      <c r="AA43" s="15"/>
      <c r="AB43" s="15"/>
    </row>
    <row r="44" spans="2:29" x14ac:dyDescent="0.3">
      <c r="B44" s="20" t="s">
        <v>151</v>
      </c>
      <c r="C44" s="21"/>
      <c r="D44" s="21"/>
      <c r="E44" s="21"/>
      <c r="F44" s="21"/>
      <c r="G44" s="21"/>
      <c r="H44" s="21"/>
      <c r="I44" s="21"/>
      <c r="J44" s="21"/>
      <c r="K44" s="21"/>
      <c r="O44" s="17" t="s">
        <v>139</v>
      </c>
      <c r="P44" s="15"/>
      <c r="Q44" s="15"/>
      <c r="R44" s="15"/>
      <c r="S44" s="15"/>
      <c r="T44" s="15"/>
      <c r="U44" s="15"/>
      <c r="V44" s="15"/>
      <c r="W44" s="15"/>
      <c r="X44" s="15"/>
      <c r="Y44" s="15"/>
      <c r="Z44" s="15"/>
      <c r="AA44" s="15"/>
      <c r="AB44" s="15"/>
    </row>
    <row r="45" spans="2:29" x14ac:dyDescent="0.3">
      <c r="O45" s="17" t="s">
        <v>118</v>
      </c>
      <c r="P45" s="15"/>
      <c r="Q45" s="15"/>
      <c r="R45" s="15"/>
      <c r="S45" s="15"/>
      <c r="T45" s="15"/>
      <c r="U45" s="15"/>
      <c r="V45" s="15"/>
      <c r="W45" s="15"/>
      <c r="X45" s="15"/>
      <c r="Y45" s="15"/>
      <c r="Z45" s="15"/>
      <c r="AA45" s="15"/>
      <c r="AB45" s="15"/>
    </row>
    <row r="46" spans="2:29" x14ac:dyDescent="0.3">
      <c r="O46" s="17"/>
      <c r="P46" s="15"/>
      <c r="Q46" s="15"/>
      <c r="R46" s="15"/>
      <c r="S46" s="15"/>
      <c r="T46" s="15"/>
      <c r="U46" s="15"/>
      <c r="V46" s="15"/>
      <c r="W46" s="15"/>
      <c r="X46" s="15"/>
      <c r="Y46" s="15"/>
      <c r="Z46" s="15"/>
      <c r="AA46" s="15"/>
      <c r="AB46" s="15"/>
    </row>
    <row r="47" spans="2:29" x14ac:dyDescent="0.3">
      <c r="B47" s="1" t="s">
        <v>98</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t="s">
        <v>51</v>
      </c>
      <c r="P49" s="26"/>
      <c r="Q49" s="26"/>
      <c r="R49" s="26"/>
      <c r="S49" s="26"/>
      <c r="T49" s="26"/>
      <c r="U49" s="26"/>
      <c r="V49" s="26"/>
      <c r="W49" s="26"/>
      <c r="X49" s="26"/>
      <c r="Y49" s="26"/>
      <c r="Z49" s="26"/>
      <c r="AA49" s="26"/>
      <c r="AB49" s="26"/>
      <c r="AC49" s="28"/>
    </row>
    <row r="50" spans="2:29" x14ac:dyDescent="0.3">
      <c r="N50" s="28"/>
      <c r="O50" s="15" t="s">
        <v>76</v>
      </c>
      <c r="P50" s="26"/>
      <c r="Q50" s="26"/>
      <c r="R50" s="26"/>
      <c r="S50" s="26"/>
      <c r="T50" s="26"/>
      <c r="U50" s="26"/>
      <c r="V50" s="26"/>
      <c r="W50" s="26"/>
      <c r="X50" s="26"/>
      <c r="Y50" s="26"/>
      <c r="Z50" s="26"/>
      <c r="AA50" s="26"/>
      <c r="AB50" s="26"/>
      <c r="AC50" s="28"/>
    </row>
    <row r="51" spans="2:29" x14ac:dyDescent="0.3">
      <c r="N51" s="28"/>
      <c r="O51" s="15" t="s">
        <v>77</v>
      </c>
      <c r="P51" s="26"/>
      <c r="Q51" s="26"/>
      <c r="R51" s="26"/>
      <c r="S51" s="26"/>
      <c r="T51" s="26"/>
      <c r="U51" s="26"/>
      <c r="V51" s="26"/>
      <c r="W51" s="26"/>
      <c r="X51" s="26"/>
      <c r="Y51" s="26"/>
      <c r="Z51" s="26"/>
      <c r="AA51" s="26"/>
      <c r="AB51" s="26"/>
      <c r="AC51" s="28"/>
    </row>
    <row r="52" spans="2:29" x14ac:dyDescent="0.3">
      <c r="B52" s="11"/>
      <c r="N52" s="28"/>
      <c r="O52" s="15" t="s">
        <v>78</v>
      </c>
      <c r="P52" s="26"/>
      <c r="Q52" s="26"/>
      <c r="R52" s="26"/>
      <c r="S52" s="26"/>
      <c r="T52" s="26"/>
      <c r="U52" s="26"/>
      <c r="V52" s="26"/>
      <c r="W52" s="26"/>
      <c r="X52" s="26"/>
      <c r="Y52" s="26"/>
      <c r="Z52" s="26"/>
      <c r="AA52" s="26"/>
      <c r="AB52" s="26"/>
      <c r="AC52" s="28"/>
    </row>
    <row r="53" spans="2:29" x14ac:dyDescent="0.3">
      <c r="B53" s="11"/>
      <c r="N53" s="28"/>
      <c r="O53" s="15" t="s">
        <v>79</v>
      </c>
      <c r="P53" s="26"/>
      <c r="Q53" s="26"/>
      <c r="R53" s="26"/>
      <c r="S53" s="26"/>
      <c r="T53" s="26"/>
      <c r="U53" s="26"/>
      <c r="V53" s="26"/>
      <c r="W53" s="26"/>
      <c r="X53" s="26"/>
      <c r="Y53" s="26"/>
      <c r="Z53" s="26"/>
      <c r="AA53" s="26"/>
      <c r="AB53" s="26"/>
      <c r="AC53" s="28"/>
    </row>
    <row r="54" spans="2:29" x14ac:dyDescent="0.3">
      <c r="B54" s="11"/>
      <c r="M54" s="30"/>
      <c r="N54" s="28"/>
      <c r="O54" s="27"/>
      <c r="P54" s="26"/>
      <c r="Q54" s="26"/>
      <c r="R54" s="26"/>
      <c r="S54" s="26"/>
      <c r="T54" s="26"/>
      <c r="U54" s="26"/>
      <c r="V54" s="26"/>
      <c r="W54" s="26"/>
      <c r="X54" s="26"/>
      <c r="Y54" s="26"/>
      <c r="Z54" s="26"/>
      <c r="AA54" s="26"/>
      <c r="AB54" s="26"/>
      <c r="AC54" s="28"/>
    </row>
    <row r="55" spans="2:29" x14ac:dyDescent="0.3">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35"/>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2" spans="2:29" x14ac:dyDescent="0.3">
      <c r="O62" s="11"/>
    </row>
    <row r="63" spans="2:29" x14ac:dyDescent="0.3">
      <c r="O63" s="11"/>
    </row>
    <row r="66" spans="2:15" x14ac:dyDescent="0.3">
      <c r="O66" s="8"/>
    </row>
    <row r="74" spans="2:15" x14ac:dyDescent="0.3">
      <c r="B74" s="1"/>
    </row>
    <row r="75" spans="2:15" x14ac:dyDescent="0.3">
      <c r="B75" s="65"/>
      <c r="C75" s="65"/>
      <c r="D75" s="65"/>
      <c r="E75" s="65"/>
      <c r="F75" s="65"/>
      <c r="G75" s="65"/>
      <c r="H75" s="65"/>
      <c r="I75" s="65"/>
      <c r="J75" s="65"/>
      <c r="K75" s="65"/>
      <c r="L75" s="65"/>
      <c r="N75" s="8"/>
    </row>
    <row r="76" spans="2:15" x14ac:dyDescent="0.3">
      <c r="C76" s="23"/>
    </row>
    <row r="77" spans="2:15" x14ac:dyDescent="0.3">
      <c r="C77" s="23"/>
    </row>
    <row r="78" spans="2:15" x14ac:dyDescent="0.3">
      <c r="C78" s="23"/>
    </row>
    <row r="79" spans="2:15" x14ac:dyDescent="0.3">
      <c r="C79" s="23"/>
    </row>
    <row r="80" spans="2:15" x14ac:dyDescent="0.3">
      <c r="C80" s="23"/>
    </row>
  </sheetData>
  <mergeCells count="1">
    <mergeCell ref="B75:L75"/>
  </mergeCells>
  <phoneticPr fontId="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4EEB-D2BC-46E6-8A0C-E48F1D115B65}">
  <dimension ref="B3:AC80"/>
  <sheetViews>
    <sheetView showGridLines="0" topLeftCell="A37" zoomScale="85" zoomScaleNormal="85" workbookViewId="0">
      <selection activeCell="K16" sqref="K16"/>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28.375"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97</v>
      </c>
    </row>
    <row r="21" spans="2:28" x14ac:dyDescent="0.3">
      <c r="C21" s="32" t="s">
        <v>130</v>
      </c>
      <c r="D21" s="33" t="s">
        <v>130</v>
      </c>
      <c r="E21" s="33" t="s">
        <v>131</v>
      </c>
    </row>
    <row r="22" spans="2:28" ht="55.5" x14ac:dyDescent="0.3">
      <c r="B22" s="4"/>
      <c r="C22" s="34" t="s">
        <v>136</v>
      </c>
      <c r="D22" s="34" t="s">
        <v>137</v>
      </c>
      <c r="E22" s="34" t="s">
        <v>138</v>
      </c>
      <c r="F22" s="31" t="s">
        <v>135</v>
      </c>
      <c r="H22" s="9"/>
      <c r="J22" s="9"/>
      <c r="O22" s="6" t="s">
        <v>4</v>
      </c>
      <c r="P22" s="5">
        <v>46062</v>
      </c>
      <c r="Q22" s="5">
        <v>46069</v>
      </c>
      <c r="R22" s="5">
        <v>46076</v>
      </c>
      <c r="S22" s="7" t="s">
        <v>8</v>
      </c>
    </row>
    <row r="23" spans="2:28" x14ac:dyDescent="0.3">
      <c r="B23" s="4" t="s">
        <v>21</v>
      </c>
      <c r="C23" s="4">
        <v>38</v>
      </c>
      <c r="D23" s="19">
        <v>36</v>
      </c>
      <c r="E23" s="19">
        <v>25</v>
      </c>
      <c r="F23" s="19">
        <v>25</v>
      </c>
      <c r="H23" s="10"/>
      <c r="J23" s="1"/>
      <c r="O23" s="6" t="s">
        <v>1</v>
      </c>
      <c r="P23" s="2">
        <v>490</v>
      </c>
      <c r="Q23" s="2">
        <v>490</v>
      </c>
      <c r="R23" s="2">
        <v>470</v>
      </c>
      <c r="S23" s="3" t="s">
        <v>15</v>
      </c>
    </row>
    <row r="24" spans="2:28" x14ac:dyDescent="0.3">
      <c r="B24" s="4" t="s">
        <v>5</v>
      </c>
      <c r="C24" s="4">
        <v>34</v>
      </c>
      <c r="D24" s="19">
        <v>35</v>
      </c>
      <c r="E24" s="19">
        <v>25</v>
      </c>
      <c r="F24" s="19">
        <v>25</v>
      </c>
      <c r="H24" s="10"/>
      <c r="J24" s="1"/>
      <c r="O24" s="6" t="s">
        <v>0</v>
      </c>
      <c r="P24" s="2">
        <v>475</v>
      </c>
      <c r="Q24" s="2">
        <v>475</v>
      </c>
      <c r="R24" s="2">
        <v>506</v>
      </c>
      <c r="S24" s="3" t="s">
        <v>15</v>
      </c>
    </row>
    <row r="25" spans="2:28" x14ac:dyDescent="0.3">
      <c r="B25" s="4" t="s">
        <v>6</v>
      </c>
      <c r="C25" s="4">
        <v>33</v>
      </c>
      <c r="D25" s="19">
        <v>33</v>
      </c>
      <c r="E25" s="19">
        <v>25</v>
      </c>
      <c r="F25" s="19">
        <v>25</v>
      </c>
      <c r="H25" s="1"/>
      <c r="J25" s="1"/>
      <c r="O25" s="6" t="s">
        <v>2</v>
      </c>
      <c r="P25" s="2">
        <v>563</v>
      </c>
      <c r="Q25" s="2">
        <v>563</v>
      </c>
      <c r="R25" s="2">
        <v>595</v>
      </c>
      <c r="S25" s="3" t="s">
        <v>15</v>
      </c>
    </row>
    <row r="26" spans="2:28" x14ac:dyDescent="0.3">
      <c r="B26" s="4" t="s">
        <v>7</v>
      </c>
      <c r="C26" s="4">
        <v>50</v>
      </c>
      <c r="D26" s="19">
        <v>50</v>
      </c>
      <c r="E26" s="19">
        <v>45</v>
      </c>
      <c r="F26" s="19">
        <v>45</v>
      </c>
      <c r="H26" s="10"/>
      <c r="J26" s="10"/>
      <c r="O26" s="6" t="s">
        <v>3</v>
      </c>
      <c r="P26" s="2">
        <v>498</v>
      </c>
      <c r="Q26" s="2">
        <v>498</v>
      </c>
      <c r="R26" s="2">
        <v>515</v>
      </c>
      <c r="S26" s="3" t="s">
        <v>15</v>
      </c>
    </row>
    <row r="27" spans="2:28" x14ac:dyDescent="0.3">
      <c r="O27" s="6"/>
      <c r="P27" s="2"/>
      <c r="Q27" s="2"/>
      <c r="R27" s="2"/>
      <c r="S27" s="2"/>
    </row>
    <row r="28" spans="2:28" x14ac:dyDescent="0.3">
      <c r="B28" s="12" t="s">
        <v>16</v>
      </c>
    </row>
    <row r="29" spans="2:28" ht="21" customHeight="1" x14ac:dyDescent="0.3">
      <c r="B29" s="11" t="s">
        <v>126</v>
      </c>
      <c r="O29" s="14" t="s">
        <v>35</v>
      </c>
      <c r="P29" s="15"/>
      <c r="Q29" s="15"/>
      <c r="R29" s="15"/>
      <c r="S29" s="15"/>
      <c r="T29" s="15"/>
      <c r="U29" s="15"/>
      <c r="V29" s="15"/>
      <c r="W29" s="15"/>
      <c r="X29" s="15"/>
      <c r="Y29" s="15"/>
      <c r="Z29" s="15"/>
      <c r="AA29" s="15"/>
      <c r="AB29" s="15"/>
    </row>
    <row r="30" spans="2:28" x14ac:dyDescent="0.3">
      <c r="B30" s="11" t="s">
        <v>127</v>
      </c>
      <c r="O30" s="16" t="s">
        <v>50</v>
      </c>
      <c r="P30" s="15"/>
      <c r="Q30" s="15"/>
      <c r="R30" s="15"/>
      <c r="S30" s="15"/>
      <c r="T30" s="15"/>
      <c r="U30" s="15"/>
      <c r="V30" s="15"/>
      <c r="W30" s="15"/>
      <c r="X30" s="15"/>
      <c r="Y30" s="15"/>
      <c r="Z30" s="15"/>
      <c r="AA30" s="15"/>
      <c r="AB30" s="15"/>
    </row>
    <row r="31" spans="2:28" x14ac:dyDescent="0.3">
      <c r="B31" s="11" t="s">
        <v>107</v>
      </c>
      <c r="O31" s="17" t="s">
        <v>128</v>
      </c>
      <c r="P31" s="15"/>
      <c r="Q31" s="15"/>
      <c r="R31" s="15"/>
      <c r="S31" s="15"/>
      <c r="T31" s="15"/>
      <c r="U31" s="15"/>
      <c r="V31" s="15"/>
      <c r="W31" s="15"/>
      <c r="X31" s="15"/>
      <c r="Y31" s="15"/>
      <c r="Z31" s="15"/>
      <c r="AA31" s="15"/>
      <c r="AB31" s="15"/>
    </row>
    <row r="32" spans="2:28" ht="13.9" customHeight="1" x14ac:dyDescent="0.3">
      <c r="O32" s="17" t="s">
        <v>121</v>
      </c>
      <c r="P32" s="15"/>
      <c r="Q32" s="15"/>
      <c r="R32" s="15"/>
      <c r="S32" s="15"/>
      <c r="T32" s="15"/>
      <c r="U32" s="15"/>
      <c r="V32" s="15"/>
      <c r="W32" s="15"/>
      <c r="X32" s="15"/>
      <c r="Y32" s="15"/>
      <c r="Z32" s="15"/>
      <c r="AA32" s="15"/>
      <c r="AB32" s="15"/>
    </row>
    <row r="33" spans="2:29" x14ac:dyDescent="0.3">
      <c r="B33" s="12" t="s">
        <v>96</v>
      </c>
      <c r="O33" s="17" t="s">
        <v>129</v>
      </c>
      <c r="P33" s="15"/>
      <c r="Q33" s="15"/>
      <c r="R33" s="15"/>
      <c r="S33" s="15"/>
      <c r="T33" s="15"/>
      <c r="U33" s="15"/>
      <c r="V33" s="15"/>
      <c r="W33" s="15"/>
      <c r="X33" s="15"/>
      <c r="Y33" s="15"/>
      <c r="Z33" s="15"/>
      <c r="AA33" s="15"/>
      <c r="AB33" s="15"/>
    </row>
    <row r="34" spans="2:29" x14ac:dyDescent="0.3">
      <c r="B34" s="20" t="s">
        <v>99</v>
      </c>
      <c r="C34" s="21"/>
      <c r="O34" s="14" t="s">
        <v>40</v>
      </c>
      <c r="P34" s="15"/>
      <c r="Q34" s="15"/>
      <c r="R34" s="15"/>
      <c r="S34" s="15"/>
      <c r="T34" s="15"/>
      <c r="U34" s="15"/>
      <c r="V34" s="15"/>
      <c r="W34" s="15"/>
      <c r="X34" s="15"/>
      <c r="Y34" s="15"/>
      <c r="Z34" s="15"/>
      <c r="AA34" s="15"/>
      <c r="AB34" s="15"/>
    </row>
    <row r="35" spans="2:29" x14ac:dyDescent="0.3">
      <c r="B35" s="20" t="s">
        <v>100</v>
      </c>
      <c r="C35" s="21"/>
      <c r="O35" s="17" t="s">
        <v>123</v>
      </c>
      <c r="P35" s="15"/>
      <c r="Q35" s="15"/>
      <c r="R35" s="15"/>
      <c r="S35" s="15"/>
      <c r="T35" s="15"/>
      <c r="U35" s="15"/>
      <c r="V35" s="15"/>
      <c r="W35" s="15"/>
      <c r="X35" s="15"/>
      <c r="Y35" s="15"/>
      <c r="Z35" s="15"/>
      <c r="AA35" s="15"/>
      <c r="AB35" s="15"/>
    </row>
    <row r="36" spans="2:29" x14ac:dyDescent="0.3">
      <c r="B36" s="20" t="s">
        <v>9</v>
      </c>
      <c r="C36" s="21"/>
      <c r="O36" s="17" t="s">
        <v>125</v>
      </c>
      <c r="P36" s="15"/>
      <c r="Q36" s="15"/>
      <c r="R36" s="15"/>
      <c r="S36" s="15"/>
      <c r="T36" s="15"/>
      <c r="U36" s="15"/>
      <c r="V36" s="15"/>
      <c r="W36" s="15"/>
      <c r="X36" s="15"/>
      <c r="Y36" s="15"/>
      <c r="Z36" s="15"/>
      <c r="AA36" s="15"/>
      <c r="AB36" s="15"/>
    </row>
    <row r="37" spans="2:29" x14ac:dyDescent="0.3">
      <c r="B37" s="20" t="s">
        <v>101</v>
      </c>
      <c r="C37" s="21"/>
      <c r="O37" s="17" t="s">
        <v>122</v>
      </c>
      <c r="P37" s="15"/>
      <c r="Q37" s="15"/>
      <c r="R37" s="15"/>
      <c r="S37" s="15"/>
      <c r="T37" s="15"/>
      <c r="U37" s="15"/>
      <c r="V37" s="15"/>
      <c r="W37" s="15"/>
      <c r="X37" s="15"/>
      <c r="Y37" s="15"/>
      <c r="Z37" s="15"/>
      <c r="AA37" s="15"/>
      <c r="AB37" s="15"/>
    </row>
    <row r="38" spans="2:29" x14ac:dyDescent="0.3">
      <c r="B38" s="20" t="s">
        <v>10</v>
      </c>
      <c r="C38" s="21"/>
      <c r="P38" s="15"/>
      <c r="Q38" s="15"/>
      <c r="R38" s="15"/>
      <c r="S38" s="15"/>
      <c r="T38" s="15"/>
      <c r="U38" s="15"/>
      <c r="V38" s="15"/>
      <c r="W38" s="15"/>
      <c r="X38" s="15"/>
      <c r="Y38" s="15"/>
      <c r="Z38" s="15"/>
      <c r="AA38" s="15"/>
      <c r="AB38" s="15"/>
    </row>
    <row r="39" spans="2:29" ht="18" customHeight="1" x14ac:dyDescent="0.3">
      <c r="B39" s="29" t="s">
        <v>132</v>
      </c>
      <c r="O39" s="14" t="s">
        <v>44</v>
      </c>
      <c r="P39" s="15"/>
      <c r="Q39" s="15"/>
      <c r="R39" s="15"/>
      <c r="S39" s="15"/>
      <c r="T39" s="15"/>
      <c r="U39" s="15"/>
      <c r="V39" s="15"/>
      <c r="W39" s="15"/>
      <c r="X39" s="15"/>
      <c r="Y39" s="15"/>
      <c r="Z39" s="15"/>
      <c r="AA39" s="15"/>
      <c r="AB39" s="15"/>
    </row>
    <row r="40" spans="2:29" ht="12.6" customHeight="1" x14ac:dyDescent="0.3">
      <c r="O40" s="17" t="s">
        <v>114</v>
      </c>
      <c r="P40" s="15"/>
      <c r="Q40" s="15"/>
      <c r="R40" s="15"/>
      <c r="S40" s="15"/>
      <c r="T40" s="15"/>
      <c r="U40" s="15"/>
      <c r="V40" s="15"/>
      <c r="W40" s="15"/>
      <c r="X40" s="15"/>
      <c r="Y40" s="15"/>
      <c r="Z40" s="15"/>
      <c r="AA40" s="15"/>
      <c r="AB40" s="15"/>
    </row>
    <row r="41" spans="2:29" x14ac:dyDescent="0.3">
      <c r="B41" s="12" t="s">
        <v>17</v>
      </c>
      <c r="O41" s="17" t="s">
        <v>124</v>
      </c>
      <c r="P41" s="15"/>
      <c r="Q41" s="15"/>
      <c r="R41" s="15"/>
      <c r="S41" s="15"/>
      <c r="T41" s="15"/>
      <c r="U41" s="15"/>
      <c r="V41" s="15"/>
      <c r="W41" s="15"/>
      <c r="X41" s="15"/>
      <c r="Y41" s="15"/>
      <c r="Z41" s="15"/>
      <c r="AA41" s="15"/>
      <c r="AB41" s="15"/>
    </row>
    <row r="42" spans="2:29" x14ac:dyDescent="0.3">
      <c r="B42" s="20" t="s">
        <v>102</v>
      </c>
      <c r="C42" s="21"/>
      <c r="D42" s="21"/>
      <c r="E42" s="21"/>
      <c r="F42" s="21"/>
      <c r="G42" s="21"/>
      <c r="H42" s="21"/>
      <c r="I42" s="21"/>
      <c r="J42" s="21"/>
      <c r="K42" s="21"/>
      <c r="O42" s="17"/>
      <c r="P42" s="15"/>
      <c r="Q42" s="15"/>
      <c r="R42" s="15"/>
      <c r="S42" s="15"/>
      <c r="T42" s="15"/>
      <c r="U42" s="15"/>
      <c r="V42" s="15"/>
      <c r="W42" s="15"/>
      <c r="X42" s="15"/>
      <c r="Y42" s="15"/>
      <c r="Z42" s="15"/>
      <c r="AA42" s="15"/>
      <c r="AB42" s="15"/>
    </row>
    <row r="43" spans="2:29" x14ac:dyDescent="0.3">
      <c r="B43" s="20" t="s">
        <v>134</v>
      </c>
      <c r="C43" s="21"/>
      <c r="D43" s="21"/>
      <c r="E43" s="21"/>
      <c r="F43" s="21"/>
      <c r="G43" s="21"/>
      <c r="H43" s="21"/>
      <c r="I43" s="21"/>
      <c r="J43" s="21"/>
      <c r="K43" s="21"/>
      <c r="O43" s="14" t="s">
        <v>47</v>
      </c>
      <c r="P43" s="15"/>
      <c r="Q43" s="15"/>
      <c r="R43" s="15"/>
      <c r="S43" s="15"/>
      <c r="T43" s="15"/>
      <c r="U43" s="15"/>
      <c r="V43" s="15"/>
      <c r="W43" s="15"/>
      <c r="X43" s="15"/>
      <c r="Y43" s="15"/>
      <c r="Z43" s="15"/>
      <c r="AA43" s="15"/>
      <c r="AB43" s="15"/>
    </row>
    <row r="44" spans="2:29" x14ac:dyDescent="0.3">
      <c r="B44" s="20" t="s">
        <v>133</v>
      </c>
      <c r="C44" s="21"/>
      <c r="D44" s="21"/>
      <c r="E44" s="21"/>
      <c r="F44" s="21"/>
      <c r="G44" s="21"/>
      <c r="H44" s="21"/>
      <c r="I44" s="21"/>
      <c r="J44" s="21"/>
      <c r="K44" s="21"/>
      <c r="O44" s="17" t="s">
        <v>139</v>
      </c>
      <c r="P44" s="15"/>
      <c r="Q44" s="15"/>
      <c r="R44" s="15"/>
      <c r="S44" s="15"/>
      <c r="T44" s="15"/>
      <c r="U44" s="15"/>
      <c r="V44" s="15"/>
      <c r="W44" s="15"/>
      <c r="X44" s="15"/>
      <c r="Y44" s="15"/>
      <c r="Z44" s="15"/>
      <c r="AA44" s="15"/>
      <c r="AB44" s="15"/>
    </row>
    <row r="45" spans="2:29" x14ac:dyDescent="0.3">
      <c r="O45" s="17" t="s">
        <v>118</v>
      </c>
      <c r="P45" s="15"/>
      <c r="Q45" s="15"/>
      <c r="R45" s="15"/>
      <c r="S45" s="15"/>
      <c r="T45" s="15"/>
      <c r="U45" s="15"/>
      <c r="V45" s="15"/>
      <c r="W45" s="15"/>
      <c r="X45" s="15"/>
      <c r="Y45" s="15"/>
      <c r="Z45" s="15"/>
      <c r="AA45" s="15"/>
      <c r="AB45" s="15"/>
    </row>
    <row r="46" spans="2:29" x14ac:dyDescent="0.3">
      <c r="O46" s="17"/>
      <c r="P46" s="15"/>
      <c r="Q46" s="15"/>
      <c r="R46" s="15"/>
      <c r="S46" s="15"/>
      <c r="T46" s="15"/>
      <c r="U46" s="15"/>
      <c r="V46" s="15"/>
      <c r="W46" s="15"/>
      <c r="X46" s="15"/>
      <c r="Y46" s="15"/>
      <c r="Z46" s="15"/>
      <c r="AA46" s="15"/>
      <c r="AB46" s="15"/>
    </row>
    <row r="47" spans="2:29" x14ac:dyDescent="0.3">
      <c r="B47" s="1" t="s">
        <v>98</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t="s">
        <v>51</v>
      </c>
      <c r="P49" s="26"/>
      <c r="Q49" s="26"/>
      <c r="R49" s="26"/>
      <c r="S49" s="26"/>
      <c r="T49" s="26"/>
      <c r="U49" s="26"/>
      <c r="V49" s="26"/>
      <c r="W49" s="26"/>
      <c r="X49" s="26"/>
      <c r="Y49" s="26"/>
      <c r="Z49" s="26"/>
      <c r="AA49" s="26"/>
      <c r="AB49" s="26"/>
      <c r="AC49" s="28"/>
    </row>
    <row r="50" spans="2:29" x14ac:dyDescent="0.3">
      <c r="N50" s="28"/>
      <c r="O50" s="15" t="s">
        <v>76</v>
      </c>
      <c r="P50" s="26"/>
      <c r="Q50" s="26"/>
      <c r="R50" s="26"/>
      <c r="S50" s="26"/>
      <c r="T50" s="26"/>
      <c r="U50" s="26"/>
      <c r="V50" s="26"/>
      <c r="W50" s="26"/>
      <c r="X50" s="26"/>
      <c r="Y50" s="26"/>
      <c r="Z50" s="26"/>
      <c r="AA50" s="26"/>
      <c r="AB50" s="26"/>
      <c r="AC50" s="28"/>
    </row>
    <row r="51" spans="2:29" x14ac:dyDescent="0.3">
      <c r="N51" s="28"/>
      <c r="O51" s="15" t="s">
        <v>77</v>
      </c>
      <c r="P51" s="26"/>
      <c r="Q51" s="26"/>
      <c r="R51" s="26"/>
      <c r="S51" s="26"/>
      <c r="T51" s="26"/>
      <c r="U51" s="26"/>
      <c r="V51" s="26"/>
      <c r="W51" s="26"/>
      <c r="X51" s="26"/>
      <c r="Y51" s="26"/>
      <c r="Z51" s="26"/>
      <c r="AA51" s="26"/>
      <c r="AB51" s="26"/>
      <c r="AC51" s="28"/>
    </row>
    <row r="52" spans="2:29" x14ac:dyDescent="0.3">
      <c r="B52" s="11"/>
      <c r="N52" s="28"/>
      <c r="O52" s="15" t="s">
        <v>78</v>
      </c>
      <c r="P52" s="26"/>
      <c r="Q52" s="26"/>
      <c r="R52" s="26"/>
      <c r="S52" s="26"/>
      <c r="T52" s="26"/>
      <c r="U52" s="26"/>
      <c r="V52" s="26"/>
      <c r="W52" s="26"/>
      <c r="X52" s="26"/>
      <c r="Y52" s="26"/>
      <c r="Z52" s="26"/>
      <c r="AA52" s="26"/>
      <c r="AB52" s="26"/>
      <c r="AC52" s="28"/>
    </row>
    <row r="53" spans="2:29" x14ac:dyDescent="0.3">
      <c r="B53" s="11"/>
      <c r="N53" s="28"/>
      <c r="O53" s="15" t="s">
        <v>79</v>
      </c>
      <c r="P53" s="26"/>
      <c r="Q53" s="26"/>
      <c r="R53" s="26"/>
      <c r="S53" s="26"/>
      <c r="T53" s="26"/>
      <c r="U53" s="26"/>
      <c r="V53" s="26"/>
      <c r="W53" s="26"/>
      <c r="X53" s="26"/>
      <c r="Y53" s="26"/>
      <c r="Z53" s="26"/>
      <c r="AA53" s="26"/>
      <c r="AB53" s="26"/>
      <c r="AC53" s="28"/>
    </row>
    <row r="54" spans="2:29" x14ac:dyDescent="0.3">
      <c r="B54" s="11"/>
      <c r="M54" s="30"/>
      <c r="N54" s="28"/>
      <c r="O54" s="27"/>
      <c r="P54" s="26"/>
      <c r="Q54" s="26"/>
      <c r="R54" s="26"/>
      <c r="S54" s="26"/>
      <c r="T54" s="26"/>
      <c r="U54" s="26"/>
      <c r="V54" s="26"/>
      <c r="W54" s="26"/>
      <c r="X54" s="26"/>
      <c r="Y54" s="26"/>
      <c r="Z54" s="26"/>
      <c r="AA54" s="26"/>
      <c r="AB54" s="26"/>
      <c r="AC54" s="28"/>
    </row>
    <row r="55" spans="2:29" x14ac:dyDescent="0.3">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2" spans="2:29" x14ac:dyDescent="0.3">
      <c r="O62" s="11"/>
    </row>
    <row r="63" spans="2:29" x14ac:dyDescent="0.3">
      <c r="O63" s="11"/>
    </row>
    <row r="66" spans="2:15" x14ac:dyDescent="0.3">
      <c r="O66" s="8"/>
    </row>
    <row r="74" spans="2:15" x14ac:dyDescent="0.3">
      <c r="B74" s="1"/>
    </row>
    <row r="75" spans="2:15" x14ac:dyDescent="0.3">
      <c r="B75" s="65"/>
      <c r="C75" s="65"/>
      <c r="D75" s="65"/>
      <c r="E75" s="65"/>
      <c r="F75" s="65"/>
      <c r="G75" s="65"/>
      <c r="H75" s="65"/>
      <c r="I75" s="65"/>
      <c r="J75" s="65"/>
      <c r="K75" s="65"/>
      <c r="L75" s="65"/>
      <c r="N75" s="8"/>
    </row>
    <row r="76" spans="2:15" x14ac:dyDescent="0.3">
      <c r="C76" s="23"/>
    </row>
    <row r="77" spans="2:15" x14ac:dyDescent="0.3">
      <c r="C77" s="23"/>
    </row>
    <row r="78" spans="2:15" x14ac:dyDescent="0.3">
      <c r="C78" s="23"/>
    </row>
    <row r="79" spans="2:15" x14ac:dyDescent="0.3">
      <c r="C79" s="23"/>
    </row>
    <row r="80" spans="2:15" x14ac:dyDescent="0.3">
      <c r="C80" s="23"/>
    </row>
  </sheetData>
  <mergeCells count="1">
    <mergeCell ref="B75:L75"/>
  </mergeCells>
  <phoneticPr fontId="1"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D9024-FD8C-46DC-84D1-023CCA67F297}">
  <dimension ref="B3:AC80"/>
  <sheetViews>
    <sheetView showGridLines="0" topLeftCell="A28" zoomScale="70" zoomScaleNormal="70" workbookViewId="0">
      <selection activeCell="N49" sqref="N49"/>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28.375"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97</v>
      </c>
    </row>
    <row r="22" spans="2:28" ht="40.5" x14ac:dyDescent="0.3">
      <c r="B22" s="4"/>
      <c r="C22" s="5">
        <v>46048</v>
      </c>
      <c r="D22" s="5">
        <v>46055</v>
      </c>
      <c r="E22" s="5">
        <v>46062</v>
      </c>
      <c r="F22" s="31" t="s">
        <v>120</v>
      </c>
      <c r="H22" s="9"/>
      <c r="J22" s="9"/>
      <c r="O22" s="6" t="s">
        <v>4</v>
      </c>
      <c r="P22" s="5">
        <v>46048</v>
      </c>
      <c r="Q22" s="5">
        <v>46055</v>
      </c>
      <c r="R22" s="5">
        <v>46062</v>
      </c>
      <c r="S22" s="7" t="s">
        <v>8</v>
      </c>
    </row>
    <row r="23" spans="2:28" x14ac:dyDescent="0.3">
      <c r="B23" s="4" t="s">
        <v>21</v>
      </c>
      <c r="C23" s="4">
        <v>40</v>
      </c>
      <c r="D23" s="19">
        <v>18</v>
      </c>
      <c r="E23" s="19">
        <v>38</v>
      </c>
      <c r="F23" s="19">
        <v>36</v>
      </c>
      <c r="H23" s="10"/>
      <c r="J23" s="1"/>
      <c r="O23" s="6" t="s">
        <v>1</v>
      </c>
      <c r="P23" s="2">
        <v>511</v>
      </c>
      <c r="Q23" s="2">
        <v>470</v>
      </c>
      <c r="R23" s="2">
        <v>490</v>
      </c>
      <c r="S23" s="3" t="s">
        <v>15</v>
      </c>
    </row>
    <row r="24" spans="2:28" x14ac:dyDescent="0.3">
      <c r="B24" s="4" t="s">
        <v>5</v>
      </c>
      <c r="C24" s="4">
        <v>35</v>
      </c>
      <c r="D24" s="19">
        <v>17</v>
      </c>
      <c r="E24" s="19">
        <v>34</v>
      </c>
      <c r="F24" s="19">
        <v>35</v>
      </c>
      <c r="H24" s="10"/>
      <c r="J24" s="1"/>
      <c r="O24" s="6" t="s">
        <v>0</v>
      </c>
      <c r="P24" s="2">
        <v>455</v>
      </c>
      <c r="Q24" s="2">
        <v>465</v>
      </c>
      <c r="R24" s="2">
        <v>475</v>
      </c>
      <c r="S24" s="3" t="s">
        <v>15</v>
      </c>
    </row>
    <row r="25" spans="2:28" x14ac:dyDescent="0.3">
      <c r="B25" s="4" t="s">
        <v>6</v>
      </c>
      <c r="C25" s="4">
        <v>45</v>
      </c>
      <c r="D25" s="19">
        <v>17</v>
      </c>
      <c r="E25" s="19">
        <v>33</v>
      </c>
      <c r="F25" s="19">
        <v>31</v>
      </c>
      <c r="H25" s="1"/>
      <c r="J25" s="1"/>
      <c r="O25" s="6" t="s">
        <v>2</v>
      </c>
      <c r="P25" s="2">
        <v>535</v>
      </c>
      <c r="Q25" s="2">
        <v>551</v>
      </c>
      <c r="R25" s="2">
        <v>563</v>
      </c>
      <c r="S25" s="3" t="s">
        <v>15</v>
      </c>
    </row>
    <row r="26" spans="2:28" x14ac:dyDescent="0.3">
      <c r="B26" s="4" t="s">
        <v>7</v>
      </c>
      <c r="C26" s="4">
        <v>60</v>
      </c>
      <c r="D26" s="19">
        <v>40</v>
      </c>
      <c r="E26" s="19">
        <v>50</v>
      </c>
      <c r="F26" s="19">
        <v>50</v>
      </c>
      <c r="H26" s="10"/>
      <c r="J26" s="10"/>
      <c r="O26" s="6" t="s">
        <v>3</v>
      </c>
      <c r="P26" s="2">
        <v>465</v>
      </c>
      <c r="Q26" s="2">
        <v>480</v>
      </c>
      <c r="R26" s="2">
        <v>498</v>
      </c>
      <c r="S26" s="3" t="s">
        <v>15</v>
      </c>
    </row>
    <row r="27" spans="2:28" x14ac:dyDescent="0.3">
      <c r="O27" s="6"/>
      <c r="P27" s="2"/>
      <c r="Q27" s="2"/>
      <c r="R27" s="2"/>
      <c r="S27" s="2"/>
    </row>
    <row r="28" spans="2:28" x14ac:dyDescent="0.3">
      <c r="B28" s="12" t="s">
        <v>16</v>
      </c>
    </row>
    <row r="29" spans="2:28" ht="21" customHeight="1" x14ac:dyDescent="0.3">
      <c r="B29" s="11" t="s">
        <v>105</v>
      </c>
      <c r="O29" s="14" t="s">
        <v>35</v>
      </c>
      <c r="P29" s="15"/>
      <c r="Q29" s="15"/>
      <c r="R29" s="15"/>
      <c r="S29" s="15"/>
      <c r="T29" s="15"/>
      <c r="U29" s="15"/>
      <c r="V29" s="15"/>
      <c r="W29" s="15"/>
      <c r="X29" s="15"/>
      <c r="Y29" s="15"/>
      <c r="Z29" s="15"/>
      <c r="AA29" s="15"/>
      <c r="AB29" s="15"/>
    </row>
    <row r="30" spans="2:28" x14ac:dyDescent="0.3">
      <c r="B30" s="11" t="s">
        <v>106</v>
      </c>
      <c r="O30" s="16" t="s">
        <v>50</v>
      </c>
      <c r="P30" s="15"/>
      <c r="Q30" s="15"/>
      <c r="R30" s="15"/>
      <c r="S30" s="15"/>
      <c r="T30" s="15"/>
      <c r="U30" s="15"/>
      <c r="V30" s="15"/>
      <c r="W30" s="15"/>
      <c r="X30" s="15"/>
      <c r="Y30" s="15"/>
      <c r="Z30" s="15"/>
      <c r="AA30" s="15"/>
      <c r="AB30" s="15"/>
    </row>
    <row r="31" spans="2:28" x14ac:dyDescent="0.3">
      <c r="B31" s="11" t="s">
        <v>107</v>
      </c>
      <c r="O31" s="17" t="s">
        <v>108</v>
      </c>
      <c r="P31" s="15"/>
      <c r="Q31" s="15"/>
      <c r="R31" s="15"/>
      <c r="S31" s="15"/>
      <c r="T31" s="15"/>
      <c r="U31" s="15"/>
      <c r="V31" s="15"/>
      <c r="W31" s="15"/>
      <c r="X31" s="15"/>
      <c r="Y31" s="15"/>
      <c r="Z31" s="15"/>
      <c r="AA31" s="15"/>
      <c r="AB31" s="15"/>
    </row>
    <row r="32" spans="2:28" ht="13.9" customHeight="1" x14ac:dyDescent="0.3">
      <c r="O32" s="17" t="s">
        <v>109</v>
      </c>
      <c r="P32" s="15"/>
      <c r="Q32" s="15"/>
      <c r="R32" s="15"/>
      <c r="S32" s="15"/>
      <c r="T32" s="15"/>
      <c r="U32" s="15"/>
      <c r="V32" s="15"/>
      <c r="W32" s="15"/>
      <c r="X32" s="15"/>
      <c r="Y32" s="15"/>
      <c r="Z32" s="15"/>
      <c r="AA32" s="15"/>
      <c r="AB32" s="15"/>
    </row>
    <row r="33" spans="2:29" x14ac:dyDescent="0.3">
      <c r="B33" s="12" t="s">
        <v>96</v>
      </c>
      <c r="O33" s="17" t="s">
        <v>110</v>
      </c>
      <c r="P33" s="15"/>
      <c r="Q33" s="15"/>
      <c r="R33" s="15"/>
      <c r="S33" s="15"/>
      <c r="T33" s="15"/>
      <c r="U33" s="15"/>
      <c r="V33" s="15"/>
      <c r="W33" s="15"/>
      <c r="X33" s="15"/>
      <c r="Y33" s="15"/>
      <c r="Z33" s="15"/>
      <c r="AA33" s="15"/>
      <c r="AB33" s="15"/>
    </row>
    <row r="34" spans="2:29" x14ac:dyDescent="0.3">
      <c r="B34" s="20" t="s">
        <v>99</v>
      </c>
      <c r="C34" s="21"/>
      <c r="O34" s="17"/>
      <c r="P34" s="15"/>
      <c r="Q34" s="15"/>
      <c r="R34" s="15"/>
      <c r="S34" s="15"/>
      <c r="T34" s="15"/>
      <c r="U34" s="15"/>
      <c r="V34" s="15"/>
      <c r="W34" s="15"/>
      <c r="X34" s="15"/>
      <c r="Y34" s="15"/>
      <c r="Z34" s="15"/>
      <c r="AA34" s="15"/>
      <c r="AB34" s="15"/>
    </row>
    <row r="35" spans="2:29" x14ac:dyDescent="0.3">
      <c r="B35" s="20" t="s">
        <v>100</v>
      </c>
      <c r="C35" s="21"/>
      <c r="O35" s="14" t="s">
        <v>40</v>
      </c>
      <c r="P35" s="15"/>
      <c r="Q35" s="15"/>
      <c r="R35" s="15"/>
      <c r="S35" s="15"/>
      <c r="T35" s="15"/>
      <c r="U35" s="15"/>
      <c r="V35" s="15"/>
      <c r="W35" s="15"/>
      <c r="X35" s="15"/>
      <c r="Y35" s="15"/>
      <c r="Z35" s="15"/>
      <c r="AA35" s="15"/>
      <c r="AB35" s="15"/>
    </row>
    <row r="36" spans="2:29" x14ac:dyDescent="0.3">
      <c r="B36" s="20" t="s">
        <v>9</v>
      </c>
      <c r="C36" s="21"/>
      <c r="O36" s="17" t="s">
        <v>111</v>
      </c>
      <c r="P36" s="15"/>
      <c r="Q36" s="15"/>
      <c r="R36" s="15"/>
      <c r="S36" s="15"/>
      <c r="T36" s="15"/>
      <c r="U36" s="15"/>
      <c r="V36" s="15"/>
      <c r="W36" s="15"/>
      <c r="X36" s="15"/>
      <c r="Y36" s="15"/>
      <c r="Z36" s="15"/>
      <c r="AA36" s="15"/>
      <c r="AB36" s="15"/>
    </row>
    <row r="37" spans="2:29" x14ac:dyDescent="0.3">
      <c r="B37" s="20" t="s">
        <v>101</v>
      </c>
      <c r="C37" s="21"/>
      <c r="O37" s="17" t="s">
        <v>112</v>
      </c>
      <c r="P37" s="15"/>
      <c r="Q37" s="15"/>
      <c r="R37" s="15"/>
      <c r="S37" s="15"/>
      <c r="T37" s="15"/>
      <c r="U37" s="15"/>
      <c r="V37" s="15"/>
      <c r="W37" s="15"/>
      <c r="X37" s="15"/>
      <c r="Y37" s="15"/>
      <c r="Z37" s="15"/>
      <c r="AA37" s="15"/>
      <c r="AB37" s="15"/>
    </row>
    <row r="38" spans="2:29" x14ac:dyDescent="0.3">
      <c r="B38" s="20" t="s">
        <v>10</v>
      </c>
      <c r="C38" s="21"/>
      <c r="O38" s="17" t="s">
        <v>113</v>
      </c>
      <c r="P38" s="15"/>
      <c r="Q38" s="15"/>
      <c r="R38" s="15"/>
      <c r="S38" s="15"/>
      <c r="T38" s="15"/>
      <c r="U38" s="15"/>
      <c r="V38" s="15"/>
      <c r="W38" s="15"/>
      <c r="X38" s="15"/>
      <c r="Y38" s="15"/>
      <c r="Z38" s="15"/>
      <c r="AA38" s="15"/>
      <c r="AB38" s="15"/>
    </row>
    <row r="39" spans="2:29" ht="18" customHeight="1" x14ac:dyDescent="0.3">
      <c r="B39" s="13" t="s">
        <v>119</v>
      </c>
      <c r="O39" s="14" t="s">
        <v>44</v>
      </c>
      <c r="P39" s="15"/>
      <c r="Q39" s="15"/>
      <c r="R39" s="15"/>
      <c r="S39" s="15"/>
      <c r="T39" s="15"/>
      <c r="U39" s="15"/>
      <c r="V39" s="15"/>
      <c r="W39" s="15"/>
      <c r="X39" s="15"/>
      <c r="Y39" s="15"/>
      <c r="Z39" s="15"/>
      <c r="AA39" s="15"/>
      <c r="AB39" s="15"/>
    </row>
    <row r="40" spans="2:29" ht="12.6" customHeight="1" x14ac:dyDescent="0.3">
      <c r="O40" s="17" t="s">
        <v>114</v>
      </c>
      <c r="P40" s="15"/>
      <c r="Q40" s="15"/>
      <c r="R40" s="15"/>
      <c r="S40" s="15"/>
      <c r="T40" s="15"/>
      <c r="U40" s="15"/>
      <c r="V40" s="15"/>
      <c r="W40" s="15"/>
      <c r="X40" s="15"/>
      <c r="Y40" s="15"/>
      <c r="Z40" s="15"/>
      <c r="AA40" s="15"/>
      <c r="AB40" s="15"/>
    </row>
    <row r="41" spans="2:29" x14ac:dyDescent="0.3">
      <c r="B41" s="12" t="s">
        <v>17</v>
      </c>
      <c r="O41" s="17" t="s">
        <v>115</v>
      </c>
      <c r="P41" s="15"/>
      <c r="Q41" s="15"/>
      <c r="R41" s="15"/>
      <c r="S41" s="15"/>
      <c r="T41" s="15"/>
      <c r="U41" s="15"/>
      <c r="V41" s="15"/>
      <c r="W41" s="15"/>
      <c r="X41" s="15"/>
      <c r="Y41" s="15"/>
      <c r="Z41" s="15"/>
      <c r="AA41" s="15"/>
      <c r="AB41" s="15"/>
    </row>
    <row r="42" spans="2:29" x14ac:dyDescent="0.3">
      <c r="B42" s="20" t="s">
        <v>102</v>
      </c>
      <c r="C42" s="21"/>
      <c r="D42" s="21"/>
      <c r="E42" s="21"/>
      <c r="F42" s="21"/>
      <c r="G42" s="21"/>
      <c r="H42" s="21"/>
      <c r="I42" s="21"/>
      <c r="J42" s="21"/>
      <c r="K42" s="21"/>
      <c r="O42" s="17"/>
      <c r="P42" s="15"/>
      <c r="Q42" s="15"/>
      <c r="R42" s="15"/>
      <c r="S42" s="15"/>
      <c r="T42" s="15"/>
      <c r="U42" s="15"/>
      <c r="V42" s="15"/>
      <c r="W42" s="15"/>
      <c r="X42" s="15"/>
      <c r="Y42" s="15"/>
      <c r="Z42" s="15"/>
      <c r="AA42" s="15"/>
      <c r="AB42" s="15"/>
    </row>
    <row r="43" spans="2:29" x14ac:dyDescent="0.3">
      <c r="B43" s="20" t="s">
        <v>103</v>
      </c>
      <c r="C43" s="21"/>
      <c r="D43" s="21"/>
      <c r="E43" s="21"/>
      <c r="F43" s="21"/>
      <c r="G43" s="21"/>
      <c r="H43" s="21"/>
      <c r="I43" s="21"/>
      <c r="J43" s="21"/>
      <c r="K43" s="21"/>
      <c r="O43" s="14" t="s">
        <v>47</v>
      </c>
      <c r="P43" s="15"/>
      <c r="Q43" s="15"/>
      <c r="R43" s="15"/>
      <c r="S43" s="15"/>
      <c r="T43" s="15"/>
      <c r="U43" s="15"/>
      <c r="V43" s="15"/>
      <c r="W43" s="15"/>
      <c r="X43" s="15"/>
      <c r="Y43" s="15"/>
      <c r="Z43" s="15"/>
      <c r="AA43" s="15"/>
      <c r="AB43" s="15"/>
    </row>
    <row r="44" spans="2:29" x14ac:dyDescent="0.3">
      <c r="B44" s="20" t="s">
        <v>104</v>
      </c>
      <c r="C44" s="21"/>
      <c r="D44" s="21"/>
      <c r="E44" s="21"/>
      <c r="F44" s="21"/>
      <c r="G44" s="21"/>
      <c r="H44" s="21"/>
      <c r="I44" s="21"/>
      <c r="J44" s="21"/>
      <c r="K44" s="21"/>
      <c r="O44" s="17" t="s">
        <v>116</v>
      </c>
      <c r="P44" s="15"/>
      <c r="Q44" s="15"/>
      <c r="R44" s="15"/>
      <c r="S44" s="15"/>
      <c r="T44" s="15"/>
      <c r="U44" s="15"/>
      <c r="V44" s="15"/>
      <c r="W44" s="15"/>
      <c r="X44" s="15"/>
      <c r="Y44" s="15"/>
      <c r="Z44" s="15"/>
      <c r="AA44" s="15"/>
      <c r="AB44" s="15"/>
    </row>
    <row r="45" spans="2:29" x14ac:dyDescent="0.3">
      <c r="O45" s="17" t="s">
        <v>117</v>
      </c>
      <c r="P45" s="15"/>
      <c r="Q45" s="15"/>
      <c r="R45" s="15"/>
      <c r="S45" s="15"/>
      <c r="T45" s="15"/>
      <c r="U45" s="15"/>
      <c r="V45" s="15"/>
      <c r="W45" s="15"/>
      <c r="X45" s="15"/>
      <c r="Y45" s="15"/>
      <c r="Z45" s="15"/>
      <c r="AA45" s="15"/>
      <c r="AB45" s="15"/>
    </row>
    <row r="46" spans="2:29" x14ac:dyDescent="0.3">
      <c r="O46" s="17" t="s">
        <v>118</v>
      </c>
      <c r="P46" s="15"/>
      <c r="Q46" s="15"/>
      <c r="R46" s="15"/>
      <c r="S46" s="15"/>
      <c r="T46" s="15"/>
      <c r="U46" s="15"/>
      <c r="V46" s="15"/>
      <c r="W46" s="15"/>
      <c r="X46" s="15"/>
      <c r="Y46" s="15"/>
      <c r="Z46" s="15"/>
      <c r="AA46" s="15"/>
      <c r="AB46" s="15"/>
    </row>
    <row r="47" spans="2:29" x14ac:dyDescent="0.3">
      <c r="B47" s="1" t="s">
        <v>98</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t="s">
        <v>51</v>
      </c>
      <c r="P49" s="26"/>
      <c r="Q49" s="26"/>
      <c r="R49" s="26"/>
      <c r="S49" s="26"/>
      <c r="T49" s="26"/>
      <c r="U49" s="26"/>
      <c r="V49" s="26"/>
      <c r="W49" s="26"/>
      <c r="X49" s="26"/>
      <c r="Y49" s="26"/>
      <c r="Z49" s="26"/>
      <c r="AA49" s="26"/>
      <c r="AB49" s="26"/>
      <c r="AC49" s="28"/>
    </row>
    <row r="50" spans="2:29" x14ac:dyDescent="0.3">
      <c r="N50" s="28"/>
      <c r="O50" s="15" t="s">
        <v>76</v>
      </c>
      <c r="P50" s="26"/>
      <c r="Q50" s="26"/>
      <c r="R50" s="26"/>
      <c r="S50" s="26"/>
      <c r="T50" s="26"/>
      <c r="U50" s="26"/>
      <c r="V50" s="26"/>
      <c r="W50" s="26"/>
      <c r="X50" s="26"/>
      <c r="Y50" s="26"/>
      <c r="Z50" s="26"/>
      <c r="AA50" s="26"/>
      <c r="AB50" s="26"/>
      <c r="AC50" s="28"/>
    </row>
    <row r="51" spans="2:29" x14ac:dyDescent="0.3">
      <c r="N51" s="28"/>
      <c r="O51" s="15" t="s">
        <v>77</v>
      </c>
      <c r="P51" s="26"/>
      <c r="Q51" s="26"/>
      <c r="R51" s="26"/>
      <c r="S51" s="26"/>
      <c r="T51" s="26"/>
      <c r="U51" s="26"/>
      <c r="V51" s="26"/>
      <c r="W51" s="26"/>
      <c r="X51" s="26"/>
      <c r="Y51" s="26"/>
      <c r="Z51" s="26"/>
      <c r="AA51" s="26"/>
      <c r="AB51" s="26"/>
      <c r="AC51" s="28"/>
    </row>
    <row r="52" spans="2:29" x14ac:dyDescent="0.3">
      <c r="B52" s="11"/>
      <c r="N52" s="28"/>
      <c r="O52" s="15" t="s">
        <v>78</v>
      </c>
      <c r="P52" s="26"/>
      <c r="Q52" s="26"/>
      <c r="R52" s="26"/>
      <c r="S52" s="26"/>
      <c r="T52" s="26"/>
      <c r="U52" s="26"/>
      <c r="V52" s="26"/>
      <c r="W52" s="26"/>
      <c r="X52" s="26"/>
      <c r="Y52" s="26"/>
      <c r="Z52" s="26"/>
      <c r="AA52" s="26"/>
      <c r="AB52" s="26"/>
      <c r="AC52" s="28"/>
    </row>
    <row r="53" spans="2:29" x14ac:dyDescent="0.3">
      <c r="B53" s="11"/>
      <c r="N53" s="28"/>
      <c r="O53" s="15" t="s">
        <v>79</v>
      </c>
      <c r="P53" s="26"/>
      <c r="Q53" s="26"/>
      <c r="R53" s="26"/>
      <c r="S53" s="26"/>
      <c r="T53" s="26"/>
      <c r="U53" s="26"/>
      <c r="V53" s="26"/>
      <c r="W53" s="26"/>
      <c r="X53" s="26"/>
      <c r="Y53" s="26"/>
      <c r="Z53" s="26"/>
      <c r="AA53" s="26"/>
      <c r="AB53" s="26"/>
      <c r="AC53" s="28"/>
    </row>
    <row r="54" spans="2:29" x14ac:dyDescent="0.3">
      <c r="B54" s="11"/>
      <c r="M54" s="30"/>
      <c r="N54" s="28"/>
      <c r="O54" s="27"/>
      <c r="P54" s="26"/>
      <c r="Q54" s="26"/>
      <c r="R54" s="26"/>
      <c r="S54" s="26"/>
      <c r="T54" s="26"/>
      <c r="U54" s="26"/>
      <c r="V54" s="26"/>
      <c r="W54" s="26"/>
      <c r="X54" s="26"/>
      <c r="Y54" s="26"/>
      <c r="Z54" s="26"/>
      <c r="AA54" s="26"/>
      <c r="AB54" s="26"/>
      <c r="AC54" s="28"/>
    </row>
    <row r="55" spans="2:29" x14ac:dyDescent="0.3">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2" spans="2:29" x14ac:dyDescent="0.3">
      <c r="O62" s="11"/>
    </row>
    <row r="63" spans="2:29" x14ac:dyDescent="0.3">
      <c r="O63" s="11"/>
    </row>
    <row r="66" spans="2:15" x14ac:dyDescent="0.3">
      <c r="O66" s="8"/>
    </row>
    <row r="74" spans="2:15" x14ac:dyDescent="0.3">
      <c r="B74" s="1"/>
    </row>
    <row r="75" spans="2:15" x14ac:dyDescent="0.3">
      <c r="B75" s="65"/>
      <c r="C75" s="65"/>
      <c r="D75" s="65"/>
      <c r="E75" s="65"/>
      <c r="F75" s="65"/>
      <c r="G75" s="65"/>
      <c r="H75" s="65"/>
      <c r="I75" s="65"/>
      <c r="J75" s="65"/>
      <c r="K75" s="65"/>
      <c r="L75" s="65"/>
      <c r="N75" s="8"/>
    </row>
    <row r="76" spans="2:15" x14ac:dyDescent="0.3">
      <c r="C76" s="23"/>
    </row>
    <row r="77" spans="2:15" x14ac:dyDescent="0.3">
      <c r="C77" s="23"/>
    </row>
    <row r="78" spans="2:15" x14ac:dyDescent="0.3">
      <c r="C78" s="23"/>
    </row>
    <row r="79" spans="2:15" x14ac:dyDescent="0.3">
      <c r="C79" s="23"/>
    </row>
    <row r="80" spans="2:15" x14ac:dyDescent="0.3">
      <c r="C80" s="23"/>
    </row>
  </sheetData>
  <mergeCells count="1">
    <mergeCell ref="B75:L75"/>
  </mergeCells>
  <phoneticPr fontId="1"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514C-EED3-49EF-ACD7-31978819EB93}">
  <dimension ref="B3:AC80"/>
  <sheetViews>
    <sheetView showGridLines="0" topLeftCell="A29" zoomScale="70" zoomScaleNormal="70" workbookViewId="0">
      <selection activeCell="P47" sqref="P47"/>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28.375"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97</v>
      </c>
    </row>
    <row r="22" spans="2:28" x14ac:dyDescent="0.3">
      <c r="B22" s="4"/>
      <c r="C22" s="5">
        <v>46041</v>
      </c>
      <c r="D22" s="5">
        <v>46048</v>
      </c>
      <c r="E22" s="5">
        <v>46055</v>
      </c>
      <c r="F22" s="7" t="s">
        <v>82</v>
      </c>
      <c r="H22" s="9"/>
      <c r="J22" s="9"/>
      <c r="O22" s="6" t="s">
        <v>4</v>
      </c>
      <c r="P22" s="5">
        <v>46041</v>
      </c>
      <c r="Q22" s="5">
        <v>46048</v>
      </c>
      <c r="R22" s="5">
        <v>46051</v>
      </c>
      <c r="S22" s="7" t="s">
        <v>8</v>
      </c>
    </row>
    <row r="23" spans="2:28" x14ac:dyDescent="0.3">
      <c r="B23" s="4" t="s">
        <v>21</v>
      </c>
      <c r="C23" s="4">
        <v>70</v>
      </c>
      <c r="D23" s="4">
        <v>40</v>
      </c>
      <c r="E23" s="19">
        <v>18</v>
      </c>
      <c r="F23" s="19"/>
      <c r="H23" s="10"/>
      <c r="J23" s="1"/>
      <c r="O23" s="6" t="s">
        <v>1</v>
      </c>
      <c r="P23" s="2">
        <v>505</v>
      </c>
      <c r="Q23" s="2">
        <v>511</v>
      </c>
      <c r="R23" s="2">
        <v>492</v>
      </c>
      <c r="S23" s="3" t="s">
        <v>15</v>
      </c>
    </row>
    <row r="24" spans="2:28" x14ac:dyDescent="0.3">
      <c r="B24" s="4" t="s">
        <v>5</v>
      </c>
      <c r="C24" s="4">
        <v>65</v>
      </c>
      <c r="D24" s="4">
        <v>35</v>
      </c>
      <c r="E24" s="19">
        <v>17</v>
      </c>
      <c r="F24" s="19"/>
      <c r="H24" s="10"/>
      <c r="J24" s="1"/>
      <c r="O24" s="6" t="s">
        <v>0</v>
      </c>
      <c r="P24" s="2">
        <v>445</v>
      </c>
      <c r="Q24" s="2">
        <v>455</v>
      </c>
      <c r="R24" s="2">
        <v>495</v>
      </c>
      <c r="S24" s="3" t="s">
        <v>15</v>
      </c>
    </row>
    <row r="25" spans="2:28" x14ac:dyDescent="0.3">
      <c r="B25" s="4" t="s">
        <v>6</v>
      </c>
      <c r="C25" s="4">
        <v>75</v>
      </c>
      <c r="D25" s="4">
        <v>45</v>
      </c>
      <c r="E25" s="19">
        <v>17</v>
      </c>
      <c r="F25" s="19"/>
      <c r="H25" s="1"/>
      <c r="J25" s="1"/>
      <c r="O25" s="6" t="s">
        <v>2</v>
      </c>
      <c r="P25" s="2">
        <v>540</v>
      </c>
      <c r="Q25" s="2">
        <v>535</v>
      </c>
      <c r="R25" s="2">
        <v>565</v>
      </c>
      <c r="S25" s="3" t="s">
        <v>15</v>
      </c>
    </row>
    <row r="26" spans="2:28" x14ac:dyDescent="0.3">
      <c r="B26" s="4" t="s">
        <v>7</v>
      </c>
      <c r="C26" s="4">
        <v>85</v>
      </c>
      <c r="D26" s="4">
        <v>60</v>
      </c>
      <c r="E26" s="19">
        <v>40</v>
      </c>
      <c r="F26" s="19"/>
      <c r="H26" s="10"/>
      <c r="J26" s="10"/>
      <c r="O26" s="6" t="s">
        <v>3</v>
      </c>
      <c r="P26" s="2">
        <v>460</v>
      </c>
      <c r="Q26" s="2">
        <v>465</v>
      </c>
      <c r="R26" s="2">
        <v>465</v>
      </c>
      <c r="S26" s="3" t="s">
        <v>15</v>
      </c>
    </row>
    <row r="27" spans="2:28" x14ac:dyDescent="0.3">
      <c r="O27" s="6"/>
      <c r="P27" s="2"/>
      <c r="Q27" s="2"/>
      <c r="R27" s="2"/>
      <c r="S27" s="2"/>
    </row>
    <row r="28" spans="2:28" x14ac:dyDescent="0.3">
      <c r="B28" s="12" t="s">
        <v>16</v>
      </c>
    </row>
    <row r="29" spans="2:28" ht="21" customHeight="1" x14ac:dyDescent="0.3">
      <c r="B29" s="11" t="s">
        <v>95</v>
      </c>
      <c r="O29" s="14" t="s">
        <v>35</v>
      </c>
      <c r="P29" s="15"/>
      <c r="Q29" s="15"/>
      <c r="R29" s="15"/>
      <c r="S29" s="15"/>
      <c r="T29" s="15"/>
      <c r="U29" s="15"/>
      <c r="V29" s="15"/>
      <c r="W29" s="15"/>
      <c r="X29" s="15"/>
      <c r="Y29" s="15"/>
      <c r="Z29" s="15"/>
      <c r="AA29" s="15"/>
      <c r="AB29" s="15"/>
    </row>
    <row r="30" spans="2:28" x14ac:dyDescent="0.3">
      <c r="B30" s="11" t="s">
        <v>94</v>
      </c>
      <c r="O30" s="16" t="s">
        <v>50</v>
      </c>
      <c r="P30" s="15"/>
      <c r="Q30" s="15"/>
      <c r="R30" s="15"/>
      <c r="S30" s="15"/>
      <c r="T30" s="15"/>
      <c r="U30" s="15"/>
      <c r="V30" s="15"/>
      <c r="W30" s="15"/>
      <c r="X30" s="15"/>
      <c r="Y30" s="15"/>
      <c r="Z30" s="15"/>
      <c r="AA30" s="15"/>
      <c r="AB30" s="15"/>
    </row>
    <row r="31" spans="2:28" x14ac:dyDescent="0.3">
      <c r="B31" s="11" t="s">
        <v>32</v>
      </c>
      <c r="O31" s="17" t="s">
        <v>93</v>
      </c>
      <c r="P31" s="15"/>
      <c r="Q31" s="15"/>
      <c r="R31" s="15"/>
      <c r="S31" s="15"/>
      <c r="T31" s="15"/>
      <c r="U31" s="15"/>
      <c r="V31" s="15"/>
      <c r="W31" s="15"/>
      <c r="X31" s="15"/>
      <c r="Y31" s="15"/>
      <c r="Z31" s="15"/>
      <c r="AA31" s="15"/>
      <c r="AB31" s="15"/>
    </row>
    <row r="32" spans="2:28" ht="13.9" customHeight="1" x14ac:dyDescent="0.3">
      <c r="O32" s="17" t="s">
        <v>86</v>
      </c>
      <c r="P32" s="15"/>
      <c r="Q32" s="15"/>
      <c r="R32" s="15"/>
      <c r="S32" s="15"/>
      <c r="T32" s="15"/>
      <c r="U32" s="15"/>
      <c r="V32" s="15"/>
      <c r="W32" s="15"/>
      <c r="X32" s="15"/>
      <c r="Y32" s="15"/>
      <c r="Z32" s="15"/>
      <c r="AA32" s="15"/>
      <c r="AB32" s="15"/>
    </row>
    <row r="33" spans="2:29" x14ac:dyDescent="0.3">
      <c r="B33" s="12" t="s">
        <v>96</v>
      </c>
      <c r="O33" s="17" t="s">
        <v>87</v>
      </c>
      <c r="P33" s="15"/>
      <c r="Q33" s="15"/>
      <c r="R33" s="15"/>
      <c r="S33" s="15"/>
      <c r="T33" s="15"/>
      <c r="U33" s="15"/>
      <c r="V33" s="15"/>
      <c r="W33" s="15"/>
      <c r="X33" s="15"/>
      <c r="Y33" s="15"/>
      <c r="Z33" s="15"/>
      <c r="AA33" s="15"/>
      <c r="AB33" s="15"/>
    </row>
    <row r="34" spans="2:29" x14ac:dyDescent="0.3">
      <c r="B34" s="11" t="s">
        <v>99</v>
      </c>
      <c r="O34" s="17"/>
      <c r="P34" s="15"/>
      <c r="Q34" s="15"/>
      <c r="R34" s="15"/>
      <c r="S34" s="15"/>
      <c r="T34" s="15"/>
      <c r="U34" s="15"/>
      <c r="V34" s="15"/>
      <c r="W34" s="15"/>
      <c r="X34" s="15"/>
      <c r="Y34" s="15"/>
      <c r="Z34" s="15"/>
      <c r="AA34" s="15"/>
      <c r="AB34" s="15"/>
    </row>
    <row r="35" spans="2:29" x14ac:dyDescent="0.3">
      <c r="B35" s="11" t="s">
        <v>100</v>
      </c>
      <c r="O35" s="14" t="s">
        <v>40</v>
      </c>
      <c r="P35" s="15"/>
      <c r="Q35" s="15"/>
      <c r="R35" s="15"/>
      <c r="S35" s="15"/>
      <c r="T35" s="15"/>
      <c r="U35" s="15"/>
      <c r="V35" s="15"/>
      <c r="W35" s="15"/>
      <c r="X35" s="15"/>
      <c r="Y35" s="15"/>
      <c r="Z35" s="15"/>
      <c r="AA35" s="15"/>
      <c r="AB35" s="15"/>
    </row>
    <row r="36" spans="2:29" x14ac:dyDescent="0.3">
      <c r="B36" s="11" t="s">
        <v>9</v>
      </c>
      <c r="O36" s="17" t="s">
        <v>83</v>
      </c>
      <c r="P36" s="15"/>
      <c r="Q36" s="15"/>
      <c r="R36" s="15"/>
      <c r="S36" s="15"/>
      <c r="T36" s="15"/>
      <c r="U36" s="15"/>
      <c r="V36" s="15"/>
      <c r="W36" s="15"/>
      <c r="X36" s="15"/>
      <c r="Y36" s="15"/>
      <c r="Z36" s="15"/>
      <c r="AA36" s="15"/>
      <c r="AB36" s="15"/>
    </row>
    <row r="37" spans="2:29" x14ac:dyDescent="0.3">
      <c r="B37" s="11" t="s">
        <v>101</v>
      </c>
      <c r="O37" s="17" t="s">
        <v>85</v>
      </c>
      <c r="P37" s="15"/>
      <c r="Q37" s="15"/>
      <c r="R37" s="15"/>
      <c r="S37" s="15"/>
      <c r="T37" s="15"/>
      <c r="U37" s="15"/>
      <c r="V37" s="15"/>
      <c r="W37" s="15"/>
      <c r="X37" s="15"/>
      <c r="Y37" s="15"/>
      <c r="Z37" s="15"/>
      <c r="AA37" s="15"/>
      <c r="AB37" s="15"/>
    </row>
    <row r="38" spans="2:29" x14ac:dyDescent="0.3">
      <c r="B38" s="11" t="s">
        <v>10</v>
      </c>
      <c r="O38" s="17" t="s">
        <v>84</v>
      </c>
      <c r="P38" s="15"/>
      <c r="Q38" s="15"/>
      <c r="R38" s="15"/>
      <c r="S38" s="15"/>
      <c r="T38" s="15"/>
      <c r="U38" s="15"/>
      <c r="V38" s="15"/>
      <c r="W38" s="15"/>
      <c r="X38" s="15"/>
      <c r="Y38" s="15"/>
      <c r="Z38" s="15"/>
      <c r="AA38" s="15"/>
      <c r="AB38" s="15"/>
    </row>
    <row r="39" spans="2:29" ht="18" customHeight="1" x14ac:dyDescent="0.3">
      <c r="B39" s="13"/>
      <c r="O39" s="14" t="s">
        <v>44</v>
      </c>
      <c r="P39" s="15"/>
      <c r="Q39" s="15"/>
      <c r="R39" s="15"/>
      <c r="S39" s="15"/>
      <c r="T39" s="15"/>
      <c r="U39" s="15"/>
      <c r="V39" s="15"/>
      <c r="W39" s="15"/>
      <c r="X39" s="15"/>
      <c r="Y39" s="15"/>
      <c r="Z39" s="15"/>
      <c r="AA39" s="15"/>
      <c r="AB39" s="15"/>
    </row>
    <row r="40" spans="2:29" ht="12.6" customHeight="1" x14ac:dyDescent="0.3">
      <c r="O40" s="17" t="s">
        <v>90</v>
      </c>
      <c r="P40" s="15"/>
      <c r="Q40" s="15"/>
      <c r="R40" s="15"/>
      <c r="S40" s="15"/>
      <c r="T40" s="15"/>
      <c r="U40" s="15"/>
      <c r="V40" s="15"/>
      <c r="W40" s="15"/>
      <c r="X40" s="15"/>
      <c r="Y40" s="15"/>
      <c r="Z40" s="15"/>
      <c r="AA40" s="15"/>
      <c r="AB40" s="15"/>
    </row>
    <row r="41" spans="2:29" x14ac:dyDescent="0.3">
      <c r="B41" s="12" t="s">
        <v>17</v>
      </c>
      <c r="O41" s="17" t="s">
        <v>91</v>
      </c>
      <c r="P41" s="15"/>
      <c r="Q41" s="15"/>
      <c r="R41" s="15"/>
      <c r="S41" s="15"/>
      <c r="T41" s="15"/>
      <c r="U41" s="15"/>
      <c r="V41" s="15"/>
      <c r="W41" s="15"/>
      <c r="X41" s="15"/>
      <c r="Y41" s="15"/>
      <c r="Z41" s="15"/>
      <c r="AA41" s="15"/>
      <c r="AB41" s="15"/>
    </row>
    <row r="42" spans="2:29" x14ac:dyDescent="0.3">
      <c r="B42" s="11" t="s">
        <v>102</v>
      </c>
      <c r="O42" s="17" t="s">
        <v>92</v>
      </c>
      <c r="P42" s="15"/>
      <c r="Q42" s="15"/>
      <c r="R42" s="15"/>
      <c r="S42" s="15"/>
      <c r="T42" s="15"/>
      <c r="U42" s="15"/>
      <c r="V42" s="15"/>
      <c r="W42" s="15"/>
      <c r="X42" s="15"/>
      <c r="Y42" s="15"/>
      <c r="Z42" s="15"/>
      <c r="AA42" s="15"/>
      <c r="AB42" s="15"/>
    </row>
    <row r="43" spans="2:29" x14ac:dyDescent="0.3">
      <c r="B43" s="11" t="s">
        <v>103</v>
      </c>
      <c r="O43" s="14" t="s">
        <v>47</v>
      </c>
      <c r="P43" s="15"/>
      <c r="Q43" s="15"/>
      <c r="R43" s="15"/>
      <c r="S43" s="15"/>
      <c r="T43" s="15"/>
      <c r="U43" s="15"/>
      <c r="V43" s="15"/>
      <c r="W43" s="15"/>
      <c r="X43" s="15"/>
      <c r="Y43" s="15"/>
      <c r="Z43" s="15"/>
      <c r="AA43" s="15"/>
      <c r="AB43" s="15"/>
    </row>
    <row r="44" spans="2:29" x14ac:dyDescent="0.3">
      <c r="B44" s="11" t="s">
        <v>104</v>
      </c>
      <c r="O44" s="17" t="s">
        <v>88</v>
      </c>
      <c r="P44" s="15"/>
      <c r="Q44" s="15"/>
      <c r="R44" s="15"/>
      <c r="S44" s="15"/>
      <c r="T44" s="15"/>
      <c r="U44" s="15"/>
      <c r="V44" s="15"/>
      <c r="W44" s="15"/>
      <c r="X44" s="15"/>
      <c r="Y44" s="15"/>
      <c r="Z44" s="15"/>
      <c r="AA44" s="15"/>
      <c r="AB44" s="15"/>
    </row>
    <row r="45" spans="2:29" x14ac:dyDescent="0.3">
      <c r="O45" s="17" t="s">
        <v>89</v>
      </c>
      <c r="P45" s="15"/>
      <c r="Q45" s="15"/>
      <c r="R45" s="15"/>
      <c r="S45" s="15"/>
      <c r="T45" s="15"/>
      <c r="U45" s="15"/>
      <c r="V45" s="15"/>
      <c r="W45" s="15"/>
      <c r="X45" s="15"/>
      <c r="Y45" s="15"/>
      <c r="Z45" s="15"/>
      <c r="AA45" s="15"/>
      <c r="AB45" s="15"/>
    </row>
    <row r="46" spans="2:29" x14ac:dyDescent="0.3">
      <c r="O46" s="17"/>
      <c r="P46" s="15"/>
      <c r="Q46" s="15"/>
      <c r="R46" s="15"/>
      <c r="S46" s="15"/>
      <c r="T46" s="15"/>
      <c r="U46" s="15"/>
      <c r="V46" s="15"/>
      <c r="W46" s="15"/>
      <c r="X46" s="15"/>
      <c r="Y46" s="15"/>
      <c r="Z46" s="15"/>
      <c r="AA46" s="15"/>
      <c r="AB46" s="15"/>
    </row>
    <row r="47" spans="2:29" x14ac:dyDescent="0.3">
      <c r="B47" s="1" t="s">
        <v>98</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t="s">
        <v>51</v>
      </c>
      <c r="P49" s="26"/>
      <c r="Q49" s="26"/>
      <c r="R49" s="26"/>
      <c r="S49" s="26"/>
      <c r="T49" s="26"/>
      <c r="U49" s="26"/>
      <c r="V49" s="26"/>
      <c r="W49" s="26"/>
      <c r="X49" s="26"/>
      <c r="Y49" s="26"/>
      <c r="Z49" s="26"/>
      <c r="AA49" s="26"/>
      <c r="AB49" s="26"/>
      <c r="AC49" s="28"/>
    </row>
    <row r="50" spans="2:29" x14ac:dyDescent="0.3">
      <c r="N50" s="28"/>
      <c r="O50" s="15" t="s">
        <v>76</v>
      </c>
      <c r="P50" s="26"/>
      <c r="Q50" s="26"/>
      <c r="R50" s="26"/>
      <c r="S50" s="26"/>
      <c r="T50" s="26"/>
      <c r="U50" s="26"/>
      <c r="V50" s="26"/>
      <c r="W50" s="26"/>
      <c r="X50" s="26"/>
      <c r="Y50" s="26"/>
      <c r="Z50" s="26"/>
      <c r="AA50" s="26"/>
      <c r="AB50" s="26"/>
      <c r="AC50" s="28"/>
    </row>
    <row r="51" spans="2:29" x14ac:dyDescent="0.3">
      <c r="N51" s="28"/>
      <c r="O51" s="15" t="s">
        <v>77</v>
      </c>
      <c r="P51" s="26"/>
      <c r="Q51" s="26"/>
      <c r="R51" s="26"/>
      <c r="S51" s="26"/>
      <c r="T51" s="26"/>
      <c r="U51" s="26"/>
      <c r="V51" s="26"/>
      <c r="W51" s="26"/>
      <c r="X51" s="26"/>
      <c r="Y51" s="26"/>
      <c r="Z51" s="26"/>
      <c r="AA51" s="26"/>
      <c r="AB51" s="26"/>
      <c r="AC51" s="28"/>
    </row>
    <row r="52" spans="2:29" x14ac:dyDescent="0.3">
      <c r="B52" s="11"/>
      <c r="N52" s="28"/>
      <c r="O52" s="15" t="s">
        <v>78</v>
      </c>
      <c r="P52" s="26"/>
      <c r="Q52" s="26"/>
      <c r="R52" s="26"/>
      <c r="S52" s="26"/>
      <c r="T52" s="26"/>
      <c r="U52" s="26"/>
      <c r="V52" s="26"/>
      <c r="W52" s="26"/>
      <c r="X52" s="26"/>
      <c r="Y52" s="26"/>
      <c r="Z52" s="26"/>
      <c r="AA52" s="26"/>
      <c r="AB52" s="26"/>
      <c r="AC52" s="28"/>
    </row>
    <row r="53" spans="2:29" x14ac:dyDescent="0.3">
      <c r="B53" s="11"/>
      <c r="N53" s="28"/>
      <c r="O53" s="15" t="s">
        <v>79</v>
      </c>
      <c r="P53" s="26"/>
      <c r="Q53" s="26"/>
      <c r="R53" s="26"/>
      <c r="S53" s="26"/>
      <c r="T53" s="26"/>
      <c r="U53" s="26"/>
      <c r="V53" s="26"/>
      <c r="W53" s="26"/>
      <c r="X53" s="26"/>
      <c r="Y53" s="26"/>
      <c r="Z53" s="26"/>
      <c r="AA53" s="26"/>
      <c r="AB53" s="26"/>
      <c r="AC53" s="28"/>
    </row>
    <row r="54" spans="2:29" x14ac:dyDescent="0.3">
      <c r="B54" s="11"/>
      <c r="M54" s="30"/>
      <c r="N54" s="28"/>
      <c r="O54" s="27"/>
      <c r="P54" s="26"/>
      <c r="Q54" s="26"/>
      <c r="R54" s="26"/>
      <c r="S54" s="26"/>
      <c r="T54" s="26"/>
      <c r="U54" s="26"/>
      <c r="V54" s="26"/>
      <c r="W54" s="26"/>
      <c r="X54" s="26"/>
      <c r="Y54" s="26"/>
      <c r="Z54" s="26"/>
      <c r="AA54" s="26"/>
      <c r="AB54" s="26"/>
      <c r="AC54" s="28"/>
    </row>
    <row r="55" spans="2:29" x14ac:dyDescent="0.3">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2" spans="2:29" x14ac:dyDescent="0.3">
      <c r="O62" s="11"/>
    </row>
    <row r="63" spans="2:29" x14ac:dyDescent="0.3">
      <c r="O63" s="11"/>
    </row>
    <row r="66" spans="2:15" x14ac:dyDescent="0.3">
      <c r="O66" s="8"/>
    </row>
    <row r="74" spans="2:15" x14ac:dyDescent="0.3">
      <c r="B74" s="1"/>
    </row>
    <row r="75" spans="2:15" x14ac:dyDescent="0.3">
      <c r="B75" s="65"/>
      <c r="C75" s="65"/>
      <c r="D75" s="65"/>
      <c r="E75" s="65"/>
      <c r="F75" s="65"/>
      <c r="G75" s="65"/>
      <c r="H75" s="65"/>
      <c r="I75" s="65"/>
      <c r="J75" s="65"/>
      <c r="K75" s="65"/>
      <c r="L75" s="65"/>
      <c r="N75" s="8"/>
    </row>
    <row r="76" spans="2:15" x14ac:dyDescent="0.3">
      <c r="C76" s="23"/>
    </row>
    <row r="77" spans="2:15" x14ac:dyDescent="0.3">
      <c r="C77" s="23"/>
    </row>
    <row r="78" spans="2:15" x14ac:dyDescent="0.3">
      <c r="C78" s="23"/>
    </row>
    <row r="79" spans="2:15" x14ac:dyDescent="0.3">
      <c r="C79" s="23"/>
    </row>
    <row r="80" spans="2:15" x14ac:dyDescent="0.3">
      <c r="C80" s="23"/>
    </row>
  </sheetData>
  <mergeCells count="1">
    <mergeCell ref="B75:L75"/>
  </mergeCells>
  <phoneticPr fontId="1"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081E-1E2B-40B4-A439-EA6BD8E34F5E}">
  <dimension ref="B3:AC111"/>
  <sheetViews>
    <sheetView showGridLines="0" topLeftCell="A15" zoomScale="55" zoomScaleNormal="55" workbookViewId="0">
      <selection activeCell="F78" sqref="F78"/>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28.375" customWidth="1"/>
    <col min="15" max="15" width="12" customWidth="1"/>
    <col min="16" max="16" width="11" customWidth="1"/>
    <col min="17" max="17" width="10" bestFit="1" customWidth="1"/>
    <col min="18" max="18" width="12.125" customWidth="1"/>
    <col min="19" max="19" width="10.375" customWidth="1"/>
  </cols>
  <sheetData>
    <row r="3" spans="2:15" x14ac:dyDescent="0.3">
      <c r="B3" s="1" t="s">
        <v>80</v>
      </c>
      <c r="O3" s="1" t="s">
        <v>81</v>
      </c>
    </row>
    <row r="22" spans="2:28" x14ac:dyDescent="0.3">
      <c r="B22" s="4"/>
      <c r="C22" s="5">
        <v>46034</v>
      </c>
      <c r="D22" s="5">
        <v>46041</v>
      </c>
      <c r="E22" s="5">
        <v>46048</v>
      </c>
      <c r="F22" s="7" t="s">
        <v>82</v>
      </c>
      <c r="H22" s="9"/>
      <c r="J22" s="9"/>
      <c r="O22" s="6" t="s">
        <v>4</v>
      </c>
      <c r="P22" s="5">
        <v>46034</v>
      </c>
      <c r="Q22" s="5">
        <v>46041</v>
      </c>
      <c r="R22" s="5">
        <v>46048</v>
      </c>
      <c r="S22" s="7" t="s">
        <v>8</v>
      </c>
    </row>
    <row r="23" spans="2:28" x14ac:dyDescent="0.3">
      <c r="B23" s="4" t="s">
        <v>21</v>
      </c>
      <c r="C23" s="4">
        <v>45</v>
      </c>
      <c r="D23" s="4">
        <v>70</v>
      </c>
      <c r="E23" s="19">
        <v>40</v>
      </c>
      <c r="F23" s="19">
        <v>40</v>
      </c>
      <c r="H23" s="10"/>
      <c r="J23" s="1"/>
      <c r="O23" s="6" t="s">
        <v>1</v>
      </c>
      <c r="P23" s="2">
        <v>455</v>
      </c>
      <c r="Q23" s="2">
        <v>505</v>
      </c>
      <c r="R23" s="2">
        <v>511</v>
      </c>
      <c r="S23" s="3" t="s">
        <v>15</v>
      </c>
    </row>
    <row r="24" spans="2:28" x14ac:dyDescent="0.3">
      <c r="B24" s="4" t="s">
        <v>5</v>
      </c>
      <c r="C24" s="4">
        <v>40</v>
      </c>
      <c r="D24" s="4">
        <v>65</v>
      </c>
      <c r="E24" s="19">
        <v>35</v>
      </c>
      <c r="F24" s="19">
        <v>40</v>
      </c>
      <c r="H24" s="10"/>
      <c r="J24" s="1"/>
      <c r="O24" s="6" t="s">
        <v>0</v>
      </c>
      <c r="P24" s="2">
        <v>429</v>
      </c>
      <c r="Q24" s="2">
        <v>445</v>
      </c>
      <c r="R24" s="2">
        <v>455</v>
      </c>
      <c r="S24" s="3" t="s">
        <v>15</v>
      </c>
    </row>
    <row r="25" spans="2:28" x14ac:dyDescent="0.3">
      <c r="B25" s="4" t="s">
        <v>6</v>
      </c>
      <c r="C25" s="4">
        <v>50</v>
      </c>
      <c r="D25" s="4">
        <v>75</v>
      </c>
      <c r="E25" s="19">
        <v>45</v>
      </c>
      <c r="F25" s="19">
        <v>40</v>
      </c>
      <c r="H25" s="1"/>
      <c r="J25" s="1"/>
      <c r="O25" s="6" t="s">
        <v>2</v>
      </c>
      <c r="P25" s="2">
        <v>510</v>
      </c>
      <c r="Q25" s="2">
        <v>540</v>
      </c>
      <c r="R25" s="2">
        <v>535</v>
      </c>
      <c r="S25" s="3" t="s">
        <v>15</v>
      </c>
    </row>
    <row r="26" spans="2:28" x14ac:dyDescent="0.3">
      <c r="B26" s="4" t="s">
        <v>7</v>
      </c>
      <c r="C26" s="4">
        <v>60</v>
      </c>
      <c r="D26" s="4">
        <v>85</v>
      </c>
      <c r="E26" s="19">
        <v>60</v>
      </c>
      <c r="F26" s="19">
        <v>60</v>
      </c>
      <c r="H26" s="10"/>
      <c r="J26" s="10"/>
      <c r="O26" s="6" t="s">
        <v>3</v>
      </c>
      <c r="P26" s="2">
        <v>445</v>
      </c>
      <c r="Q26" s="2">
        <v>460</v>
      </c>
      <c r="R26" s="2">
        <v>465</v>
      </c>
      <c r="S26" s="3" t="s">
        <v>15</v>
      </c>
    </row>
    <row r="27" spans="2:28" x14ac:dyDescent="0.3">
      <c r="O27" s="6"/>
      <c r="P27" s="2"/>
      <c r="Q27" s="2"/>
      <c r="R27" s="2"/>
      <c r="S27" s="2"/>
    </row>
    <row r="28" spans="2:28" x14ac:dyDescent="0.3">
      <c r="B28" s="12" t="s">
        <v>16</v>
      </c>
    </row>
    <row r="29" spans="2:28" ht="21" customHeight="1" x14ac:dyDescent="0.3">
      <c r="B29" s="11" t="s">
        <v>73</v>
      </c>
      <c r="O29" s="14" t="s">
        <v>35</v>
      </c>
      <c r="P29" s="15"/>
      <c r="Q29" s="15"/>
      <c r="R29" s="15"/>
      <c r="S29" s="15"/>
      <c r="T29" s="15"/>
      <c r="U29" s="15"/>
      <c r="V29" s="15"/>
      <c r="W29" s="15"/>
      <c r="X29" s="15"/>
      <c r="Y29" s="15"/>
      <c r="Z29" s="15"/>
      <c r="AA29" s="15"/>
      <c r="AB29" s="15"/>
    </row>
    <row r="30" spans="2:28" x14ac:dyDescent="0.3">
      <c r="B30" s="11" t="s">
        <v>74</v>
      </c>
      <c r="O30" s="16" t="s">
        <v>50</v>
      </c>
      <c r="P30" s="15"/>
      <c r="Q30" s="15"/>
      <c r="R30" s="15"/>
      <c r="S30" s="15"/>
      <c r="T30" s="15"/>
      <c r="U30" s="15"/>
      <c r="V30" s="15"/>
      <c r="W30" s="15"/>
      <c r="X30" s="15"/>
      <c r="Y30" s="15"/>
      <c r="Z30" s="15"/>
      <c r="AA30" s="15"/>
      <c r="AB30" s="15"/>
    </row>
    <row r="31" spans="2:28" x14ac:dyDescent="0.3">
      <c r="B31" s="11" t="s">
        <v>32</v>
      </c>
      <c r="O31" s="17" t="s">
        <v>61</v>
      </c>
      <c r="P31" s="15"/>
      <c r="Q31" s="15"/>
      <c r="R31" s="15"/>
      <c r="S31" s="15"/>
      <c r="T31" s="15"/>
      <c r="U31" s="15"/>
      <c r="V31" s="15"/>
      <c r="W31" s="15"/>
      <c r="X31" s="15"/>
      <c r="Y31" s="15"/>
      <c r="Z31" s="15"/>
      <c r="AA31" s="15"/>
      <c r="AB31" s="15"/>
    </row>
    <row r="32" spans="2:28" ht="13.9" customHeight="1" x14ac:dyDescent="0.3">
      <c r="O32" s="17" t="s">
        <v>62</v>
      </c>
      <c r="P32" s="15"/>
      <c r="Q32" s="15"/>
      <c r="R32" s="15"/>
      <c r="S32" s="15"/>
      <c r="T32" s="15"/>
      <c r="U32" s="15"/>
      <c r="V32" s="15"/>
      <c r="W32" s="15"/>
      <c r="X32" s="15"/>
      <c r="Y32" s="15"/>
      <c r="Z32" s="15"/>
      <c r="AA32" s="15"/>
      <c r="AB32" s="15"/>
    </row>
    <row r="33" spans="2:29" x14ac:dyDescent="0.3">
      <c r="B33" s="12" t="s">
        <v>18</v>
      </c>
      <c r="O33" s="17" t="s">
        <v>72</v>
      </c>
      <c r="P33" s="15"/>
      <c r="Q33" s="15"/>
      <c r="R33" s="15"/>
      <c r="S33" s="15"/>
      <c r="T33" s="15"/>
      <c r="U33" s="15"/>
      <c r="V33" s="15"/>
      <c r="W33" s="15"/>
      <c r="X33" s="15"/>
      <c r="Y33" s="15"/>
      <c r="Z33" s="15"/>
      <c r="AA33" s="15"/>
      <c r="AB33" s="15"/>
    </row>
    <row r="34" spans="2:29" x14ac:dyDescent="0.3">
      <c r="B34" s="11" t="s">
        <v>28</v>
      </c>
      <c r="O34" s="17"/>
      <c r="P34" s="15"/>
      <c r="Q34" s="15"/>
      <c r="R34" s="15"/>
      <c r="S34" s="15"/>
      <c r="T34" s="15"/>
      <c r="U34" s="15"/>
      <c r="V34" s="15"/>
      <c r="W34" s="15"/>
      <c r="X34" s="15"/>
      <c r="Y34" s="15"/>
      <c r="Z34" s="15"/>
      <c r="AA34" s="15"/>
      <c r="AB34" s="15"/>
    </row>
    <row r="35" spans="2:29" x14ac:dyDescent="0.3">
      <c r="B35" s="11" t="s">
        <v>30</v>
      </c>
      <c r="O35" s="14" t="s">
        <v>40</v>
      </c>
      <c r="P35" s="15"/>
      <c r="Q35" s="15"/>
      <c r="R35" s="15"/>
      <c r="S35" s="15"/>
      <c r="T35" s="15"/>
      <c r="U35" s="15"/>
      <c r="V35" s="15"/>
      <c r="W35" s="15"/>
      <c r="X35" s="15"/>
      <c r="Y35" s="15"/>
      <c r="Z35" s="15"/>
      <c r="AA35" s="15"/>
      <c r="AB35" s="15"/>
    </row>
    <row r="36" spans="2:29" x14ac:dyDescent="0.3">
      <c r="B36" s="11" t="s">
        <v>9</v>
      </c>
      <c r="O36" s="17" t="s">
        <v>63</v>
      </c>
      <c r="P36" s="15"/>
      <c r="Q36" s="15"/>
      <c r="R36" s="15"/>
      <c r="S36" s="15"/>
      <c r="T36" s="15"/>
      <c r="U36" s="15"/>
      <c r="V36" s="15"/>
      <c r="W36" s="15"/>
      <c r="X36" s="15"/>
      <c r="Y36" s="15"/>
      <c r="Z36" s="15"/>
      <c r="AA36" s="15"/>
      <c r="AB36" s="15"/>
    </row>
    <row r="37" spans="2:29" x14ac:dyDescent="0.3">
      <c r="B37" s="11" t="s">
        <v>27</v>
      </c>
      <c r="O37" s="17" t="s">
        <v>64</v>
      </c>
      <c r="P37" s="15"/>
      <c r="Q37" s="15"/>
      <c r="R37" s="15"/>
      <c r="S37" s="15"/>
      <c r="T37" s="15"/>
      <c r="U37" s="15"/>
      <c r="V37" s="15"/>
      <c r="W37" s="15"/>
      <c r="X37" s="15"/>
      <c r="Y37" s="15"/>
      <c r="Z37" s="15"/>
      <c r="AA37" s="15"/>
      <c r="AB37" s="15"/>
    </row>
    <row r="38" spans="2:29" x14ac:dyDescent="0.3">
      <c r="B38" s="11" t="s">
        <v>10</v>
      </c>
      <c r="O38" s="17" t="s">
        <v>65</v>
      </c>
      <c r="P38" s="15"/>
      <c r="Q38" s="15"/>
      <c r="R38" s="15"/>
      <c r="S38" s="15"/>
      <c r="T38" s="15"/>
      <c r="U38" s="15"/>
      <c r="V38" s="15"/>
      <c r="W38" s="15"/>
      <c r="X38" s="15"/>
      <c r="Y38" s="15"/>
      <c r="Z38" s="15"/>
      <c r="AA38" s="15"/>
      <c r="AB38" s="15"/>
    </row>
    <row r="39" spans="2:29" ht="9" customHeight="1" x14ac:dyDescent="0.3">
      <c r="B39" s="11"/>
      <c r="O39" s="14" t="s">
        <v>44</v>
      </c>
      <c r="P39" s="15"/>
      <c r="Q39" s="15"/>
      <c r="R39" s="15"/>
      <c r="S39" s="15"/>
      <c r="T39" s="15"/>
      <c r="U39" s="15"/>
      <c r="V39" s="15"/>
      <c r="W39" s="15"/>
      <c r="X39" s="15"/>
      <c r="Y39" s="15"/>
      <c r="Z39" s="15"/>
      <c r="AA39" s="15"/>
      <c r="AB39" s="15"/>
    </row>
    <row r="40" spans="2:29" ht="12.6" customHeight="1" x14ac:dyDescent="0.3">
      <c r="O40" s="17" t="s">
        <v>66</v>
      </c>
      <c r="P40" s="15"/>
      <c r="Q40" s="15"/>
      <c r="R40" s="15"/>
      <c r="S40" s="15"/>
      <c r="T40" s="15"/>
      <c r="U40" s="15"/>
      <c r="V40" s="15"/>
      <c r="W40" s="15"/>
      <c r="X40" s="15"/>
      <c r="Y40" s="15"/>
      <c r="Z40" s="15"/>
      <c r="AA40" s="15"/>
      <c r="AB40" s="15"/>
    </row>
    <row r="41" spans="2:29" x14ac:dyDescent="0.3">
      <c r="B41" s="12" t="s">
        <v>17</v>
      </c>
      <c r="O41" s="17" t="s">
        <v>67</v>
      </c>
      <c r="P41" s="15"/>
      <c r="Q41" s="15"/>
      <c r="R41" s="15"/>
      <c r="S41" s="15"/>
      <c r="T41" s="15"/>
      <c r="U41" s="15"/>
      <c r="V41" s="15"/>
      <c r="W41" s="15"/>
      <c r="X41" s="15"/>
      <c r="Y41" s="15"/>
      <c r="Z41" s="15"/>
      <c r="AA41" s="15"/>
      <c r="AB41" s="15"/>
    </row>
    <row r="42" spans="2:29" x14ac:dyDescent="0.3">
      <c r="B42" s="11" t="s">
        <v>19</v>
      </c>
      <c r="O42" s="17" t="s">
        <v>68</v>
      </c>
      <c r="P42" s="15"/>
      <c r="Q42" s="15"/>
      <c r="R42" s="15"/>
      <c r="S42" s="15"/>
      <c r="T42" s="15"/>
      <c r="U42" s="15"/>
      <c r="V42" s="15"/>
      <c r="W42" s="15"/>
      <c r="X42" s="15"/>
      <c r="Y42" s="15"/>
      <c r="Z42" s="15"/>
      <c r="AA42" s="15"/>
      <c r="AB42" s="15"/>
    </row>
    <row r="43" spans="2:29" x14ac:dyDescent="0.3">
      <c r="B43" s="11" t="s">
        <v>33</v>
      </c>
      <c r="O43" s="14" t="s">
        <v>47</v>
      </c>
      <c r="P43" s="15"/>
      <c r="Q43" s="15"/>
      <c r="R43" s="15"/>
      <c r="S43" s="15"/>
      <c r="T43" s="15"/>
      <c r="U43" s="15"/>
      <c r="V43" s="15"/>
      <c r="W43" s="15"/>
      <c r="X43" s="15"/>
      <c r="Y43" s="15"/>
      <c r="Z43" s="15"/>
      <c r="AA43" s="15"/>
      <c r="AB43" s="15"/>
    </row>
    <row r="44" spans="2:29" x14ac:dyDescent="0.3">
      <c r="B44" s="11" t="s">
        <v>34</v>
      </c>
      <c r="O44" s="17" t="s">
        <v>69</v>
      </c>
      <c r="P44" s="15"/>
      <c r="Q44" s="15"/>
      <c r="R44" s="15"/>
      <c r="S44" s="15"/>
      <c r="T44" s="15"/>
      <c r="U44" s="15"/>
      <c r="V44" s="15"/>
      <c r="W44" s="15"/>
      <c r="X44" s="15"/>
      <c r="Y44" s="15"/>
      <c r="Z44" s="15"/>
      <c r="AA44" s="15"/>
      <c r="AB44" s="15"/>
    </row>
    <row r="45" spans="2:29" x14ac:dyDescent="0.3">
      <c r="O45" s="17" t="s">
        <v>71</v>
      </c>
      <c r="P45" s="15"/>
      <c r="Q45" s="15"/>
      <c r="R45" s="15"/>
      <c r="S45" s="15"/>
      <c r="T45" s="15"/>
      <c r="U45" s="15"/>
      <c r="V45" s="15"/>
      <c r="W45" s="15"/>
      <c r="X45" s="15"/>
      <c r="Y45" s="15"/>
      <c r="Z45" s="15"/>
      <c r="AA45" s="15"/>
      <c r="AB45" s="15"/>
    </row>
    <row r="46" spans="2:29" x14ac:dyDescent="0.3">
      <c r="O46" s="17" t="s">
        <v>70</v>
      </c>
      <c r="P46" s="15"/>
      <c r="Q46" s="15"/>
      <c r="R46" s="15"/>
      <c r="S46" s="15"/>
      <c r="T46" s="15"/>
      <c r="U46" s="15"/>
      <c r="V46" s="15"/>
      <c r="W46" s="15"/>
      <c r="X46" s="15"/>
      <c r="Y46" s="15"/>
      <c r="Z46" s="15"/>
      <c r="AA46" s="15"/>
      <c r="AB46" s="15"/>
    </row>
    <row r="47" spans="2:29" x14ac:dyDescent="0.3">
      <c r="B47" s="1" t="s">
        <v>75</v>
      </c>
      <c r="P47" s="15"/>
      <c r="Q47" s="15"/>
      <c r="R47" s="15"/>
      <c r="S47" s="15"/>
      <c r="T47" s="15"/>
      <c r="U47" s="15"/>
      <c r="V47" s="15"/>
      <c r="W47" s="15"/>
      <c r="X47" s="15"/>
      <c r="Y47" s="15"/>
      <c r="Z47" s="15"/>
      <c r="AA47" s="15"/>
      <c r="AB47" s="15"/>
    </row>
    <row r="48" spans="2:29" x14ac:dyDescent="0.3">
      <c r="B48" s="11"/>
      <c r="N48" s="28"/>
      <c r="O48" s="26"/>
      <c r="P48" s="26"/>
      <c r="Q48" s="26"/>
      <c r="R48" s="26"/>
      <c r="S48" s="26"/>
      <c r="T48" s="26"/>
      <c r="U48" s="26"/>
      <c r="V48" s="26"/>
      <c r="W48" s="26"/>
      <c r="X48" s="26"/>
      <c r="Y48" s="26"/>
      <c r="Z48" s="26"/>
      <c r="AA48" s="26"/>
      <c r="AB48" s="26"/>
      <c r="AC48" s="28"/>
    </row>
    <row r="49" spans="2:29" x14ac:dyDescent="0.3">
      <c r="B49" s="11"/>
      <c r="N49" s="28"/>
      <c r="O49" s="14" t="s">
        <v>51</v>
      </c>
      <c r="P49" s="26"/>
      <c r="Q49" s="26"/>
      <c r="R49" s="26"/>
      <c r="S49" s="26"/>
      <c r="T49" s="26"/>
      <c r="U49" s="26"/>
      <c r="V49" s="26"/>
      <c r="W49" s="26"/>
      <c r="X49" s="26"/>
      <c r="Y49" s="26"/>
      <c r="Z49" s="26"/>
      <c r="AA49" s="26"/>
      <c r="AB49" s="26"/>
      <c r="AC49" s="28"/>
    </row>
    <row r="50" spans="2:29" x14ac:dyDescent="0.3">
      <c r="N50" s="28"/>
      <c r="O50" s="15" t="s">
        <v>76</v>
      </c>
      <c r="P50" s="26"/>
      <c r="Q50" s="26"/>
      <c r="R50" s="26"/>
      <c r="S50" s="26"/>
      <c r="T50" s="26"/>
      <c r="U50" s="26"/>
      <c r="V50" s="26"/>
      <c r="W50" s="26"/>
      <c r="X50" s="26"/>
      <c r="Y50" s="26"/>
      <c r="Z50" s="26"/>
      <c r="AA50" s="26"/>
      <c r="AB50" s="26"/>
      <c r="AC50" s="28"/>
    </row>
    <row r="51" spans="2:29" x14ac:dyDescent="0.3">
      <c r="N51" s="28"/>
      <c r="O51" s="15" t="s">
        <v>77</v>
      </c>
      <c r="P51" s="26"/>
      <c r="Q51" s="26"/>
      <c r="R51" s="26"/>
      <c r="S51" s="26"/>
      <c r="T51" s="26"/>
      <c r="U51" s="26"/>
      <c r="V51" s="26"/>
      <c r="W51" s="26"/>
      <c r="X51" s="26"/>
      <c r="Y51" s="26"/>
      <c r="Z51" s="26"/>
      <c r="AA51" s="26"/>
      <c r="AB51" s="26"/>
      <c r="AC51" s="28"/>
    </row>
    <row r="52" spans="2:29" x14ac:dyDescent="0.3">
      <c r="B52" s="11"/>
      <c r="N52" s="28"/>
      <c r="O52" s="15" t="s">
        <v>78</v>
      </c>
      <c r="P52" s="26"/>
      <c r="Q52" s="26"/>
      <c r="R52" s="26"/>
      <c r="S52" s="26"/>
      <c r="T52" s="26"/>
      <c r="U52" s="26"/>
      <c r="V52" s="26"/>
      <c r="W52" s="26"/>
      <c r="X52" s="26"/>
      <c r="Y52" s="26"/>
      <c r="Z52" s="26"/>
      <c r="AA52" s="26"/>
      <c r="AB52" s="26"/>
      <c r="AC52" s="28"/>
    </row>
    <row r="53" spans="2:29" x14ac:dyDescent="0.3">
      <c r="B53" s="11"/>
      <c r="N53" s="28"/>
      <c r="O53" s="15" t="s">
        <v>79</v>
      </c>
      <c r="P53" s="26"/>
      <c r="Q53" s="26"/>
      <c r="R53" s="26"/>
      <c r="S53" s="26"/>
      <c r="T53" s="26"/>
      <c r="U53" s="26"/>
      <c r="V53" s="26"/>
      <c r="W53" s="26"/>
      <c r="X53" s="26"/>
      <c r="Y53" s="26"/>
      <c r="Z53" s="26"/>
      <c r="AA53" s="26"/>
      <c r="AB53" s="26"/>
      <c r="AC53" s="28"/>
    </row>
    <row r="54" spans="2:29" x14ac:dyDescent="0.3">
      <c r="B54" s="11"/>
      <c r="N54" s="28"/>
      <c r="O54" s="27"/>
      <c r="P54" s="26"/>
      <c r="Q54" s="26"/>
      <c r="R54" s="26"/>
      <c r="S54" s="26"/>
      <c r="T54" s="26"/>
      <c r="U54" s="26"/>
      <c r="V54" s="26"/>
      <c r="W54" s="26"/>
      <c r="X54" s="26"/>
      <c r="Y54" s="26"/>
      <c r="Z54" s="26"/>
      <c r="AA54" s="26"/>
      <c r="AB54" s="26"/>
      <c r="AC54" s="28"/>
    </row>
    <row r="55" spans="2:29" x14ac:dyDescent="0.3">
      <c r="N55" s="28"/>
      <c r="O55" s="27"/>
      <c r="P55" s="26"/>
      <c r="Q55" s="26"/>
      <c r="R55" s="26"/>
      <c r="S55" s="26"/>
      <c r="T55" s="26"/>
      <c r="U55" s="26"/>
      <c r="V55" s="26"/>
      <c r="W55" s="26"/>
      <c r="X55" s="26"/>
      <c r="Y55" s="26"/>
      <c r="Z55" s="26"/>
      <c r="AA55" s="26"/>
      <c r="AB55" s="26"/>
      <c r="AC55" s="28"/>
    </row>
    <row r="56" spans="2:29" x14ac:dyDescent="0.3">
      <c r="N56" s="28"/>
      <c r="O56" s="17"/>
      <c r="P56" s="28"/>
      <c r="Q56" s="28"/>
      <c r="R56" s="28"/>
      <c r="S56" s="28"/>
      <c r="T56" s="28"/>
      <c r="U56" s="28"/>
      <c r="V56" s="28"/>
      <c r="W56" s="28"/>
      <c r="X56" s="28"/>
      <c r="Y56" s="28"/>
      <c r="Z56" s="28"/>
      <c r="AA56" s="28"/>
      <c r="AB56" s="28"/>
      <c r="AC56" s="28"/>
    </row>
    <row r="57" spans="2:29" x14ac:dyDescent="0.3">
      <c r="N57" s="28"/>
      <c r="O57" s="17"/>
      <c r="P57" s="28"/>
      <c r="Q57" s="28"/>
      <c r="R57" s="28"/>
      <c r="S57" s="28"/>
      <c r="T57" s="28"/>
      <c r="U57" s="28"/>
      <c r="V57" s="28"/>
      <c r="W57" s="28"/>
      <c r="X57" s="28"/>
      <c r="Y57" s="28"/>
      <c r="Z57" s="28"/>
      <c r="AA57" s="28"/>
      <c r="AB57" s="28"/>
      <c r="AC57" s="28"/>
    </row>
    <row r="58" spans="2:29" x14ac:dyDescent="0.3">
      <c r="N58" s="28"/>
      <c r="O58" s="29"/>
      <c r="P58" s="28"/>
      <c r="Q58" s="28"/>
      <c r="R58" s="28"/>
      <c r="S58" s="28"/>
      <c r="T58" s="28"/>
      <c r="U58" s="28"/>
      <c r="V58" s="28"/>
      <c r="W58" s="28"/>
      <c r="X58" s="28"/>
      <c r="Y58" s="28"/>
      <c r="Z58" s="28"/>
      <c r="AA58" s="28"/>
      <c r="AB58" s="28"/>
      <c r="AC58" s="28"/>
    </row>
    <row r="59" spans="2:29" x14ac:dyDescent="0.3">
      <c r="N59" s="28"/>
      <c r="O59" s="29"/>
      <c r="P59" s="28"/>
      <c r="Q59" s="28"/>
      <c r="R59" s="28"/>
      <c r="S59" s="28"/>
      <c r="T59" s="28"/>
      <c r="U59" s="28"/>
      <c r="V59" s="28"/>
      <c r="W59" s="28"/>
      <c r="X59" s="28"/>
      <c r="Y59" s="28"/>
      <c r="Z59" s="28"/>
      <c r="AA59" s="28"/>
      <c r="AB59" s="28"/>
      <c r="AC59" s="28"/>
    </row>
    <row r="60" spans="2:29" x14ac:dyDescent="0.3">
      <c r="O60" s="11"/>
    </row>
    <row r="62" spans="2:29" x14ac:dyDescent="0.3">
      <c r="O62" s="11"/>
    </row>
    <row r="63" spans="2:29" x14ac:dyDescent="0.3">
      <c r="O63" s="11"/>
    </row>
    <row r="66" spans="2:15" x14ac:dyDescent="0.3">
      <c r="O66" s="8"/>
    </row>
    <row r="74" spans="2:15" x14ac:dyDescent="0.3">
      <c r="B74" s="1"/>
    </row>
    <row r="75" spans="2:15" x14ac:dyDescent="0.3">
      <c r="B75" s="22"/>
    </row>
    <row r="76" spans="2:15" x14ac:dyDescent="0.3">
      <c r="B76" s="22"/>
    </row>
    <row r="77" spans="2:15" x14ac:dyDescent="0.3">
      <c r="B77" s="22"/>
    </row>
    <row r="78" spans="2:15" x14ac:dyDescent="0.3">
      <c r="B78" s="22"/>
    </row>
    <row r="80" spans="2:15" x14ac:dyDescent="0.3">
      <c r="C80" s="23"/>
    </row>
    <row r="82" spans="3:3" x14ac:dyDescent="0.3">
      <c r="C82" s="23"/>
    </row>
    <row r="84" spans="3:3" x14ac:dyDescent="0.3">
      <c r="C84" s="23"/>
    </row>
    <row r="85" spans="3:3" x14ac:dyDescent="0.3">
      <c r="C85" s="23"/>
    </row>
    <row r="86" spans="3:3" x14ac:dyDescent="0.3">
      <c r="C86" s="25"/>
    </row>
    <row r="87" spans="3:3" x14ac:dyDescent="0.3">
      <c r="C87" s="23"/>
    </row>
    <row r="88" spans="3:3" x14ac:dyDescent="0.3">
      <c r="C88" s="23"/>
    </row>
    <row r="89" spans="3:3" x14ac:dyDescent="0.3">
      <c r="C89" s="23"/>
    </row>
    <row r="90" spans="3:3" x14ac:dyDescent="0.3">
      <c r="C90" s="24"/>
    </row>
    <row r="91" spans="3:3" x14ac:dyDescent="0.3">
      <c r="C91" s="23"/>
    </row>
    <row r="92" spans="3:3" x14ac:dyDescent="0.3">
      <c r="C92" s="25"/>
    </row>
    <row r="93" spans="3:3" x14ac:dyDescent="0.3">
      <c r="C93" s="25"/>
    </row>
    <row r="94" spans="3:3" x14ac:dyDescent="0.3">
      <c r="C94" s="25"/>
    </row>
    <row r="95" spans="3:3" x14ac:dyDescent="0.3">
      <c r="C95" s="25"/>
    </row>
    <row r="96" spans="3:3" x14ac:dyDescent="0.3">
      <c r="C96" s="25"/>
    </row>
    <row r="97" spans="3:3" x14ac:dyDescent="0.3">
      <c r="C97" s="25"/>
    </row>
    <row r="98" spans="3:3" x14ac:dyDescent="0.3">
      <c r="C98" s="25"/>
    </row>
    <row r="99" spans="3:3" x14ac:dyDescent="0.3">
      <c r="C99" s="24"/>
    </row>
    <row r="100" spans="3:3" x14ac:dyDescent="0.3">
      <c r="C100" s="23" t="s">
        <v>59</v>
      </c>
    </row>
    <row r="101" spans="3:3" x14ac:dyDescent="0.3">
      <c r="C101" s="23" t="s">
        <v>60</v>
      </c>
    </row>
    <row r="102" spans="3:3" x14ac:dyDescent="0.3">
      <c r="C102" s="23"/>
    </row>
    <row r="103" spans="3:3" x14ac:dyDescent="0.3">
      <c r="C103" s="23"/>
    </row>
    <row r="104" spans="3:3" x14ac:dyDescent="0.3">
      <c r="C104" s="23"/>
    </row>
    <row r="105" spans="3:3" x14ac:dyDescent="0.3">
      <c r="C105" s="23"/>
    </row>
    <row r="106" spans="3:3" x14ac:dyDescent="0.3">
      <c r="C106" s="23"/>
    </row>
    <row r="107" spans="3:3" x14ac:dyDescent="0.3">
      <c r="C107" s="23"/>
    </row>
    <row r="108" spans="3:3" x14ac:dyDescent="0.3">
      <c r="C108" s="23"/>
    </row>
    <row r="109" spans="3:3" x14ac:dyDescent="0.3">
      <c r="C109" s="23"/>
    </row>
    <row r="110" spans="3:3" x14ac:dyDescent="0.3">
      <c r="C110" s="23"/>
    </row>
    <row r="111" spans="3:3" x14ac:dyDescent="0.3">
      <c r="C111" s="23"/>
    </row>
  </sheetData>
  <phoneticPr fontId="1"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E3EA-A422-4B48-B61B-EBE059E45ED4}">
  <dimension ref="B22:AB66"/>
  <sheetViews>
    <sheetView showGridLines="0" topLeftCell="A2" zoomScale="55" zoomScaleNormal="55" workbookViewId="0">
      <selection activeCell="R74" sqref="R74"/>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28.375" customWidth="1"/>
    <col min="15" max="15" width="12" customWidth="1"/>
    <col min="16" max="16" width="11" customWidth="1"/>
    <col min="17" max="17" width="10" bestFit="1" customWidth="1"/>
    <col min="18" max="18" width="12.125" customWidth="1"/>
    <col min="19" max="19" width="10.375" customWidth="1"/>
  </cols>
  <sheetData>
    <row r="22" spans="2:28" x14ac:dyDescent="0.3">
      <c r="B22" s="4"/>
      <c r="C22" s="5">
        <v>46027</v>
      </c>
      <c r="D22" s="5">
        <v>46034</v>
      </c>
      <c r="E22" s="5">
        <v>46038</v>
      </c>
      <c r="F22" s="7" t="s">
        <v>24</v>
      </c>
      <c r="H22" s="9"/>
      <c r="J22" s="9"/>
      <c r="O22" s="6" t="s">
        <v>4</v>
      </c>
      <c r="P22" s="5">
        <v>46027</v>
      </c>
      <c r="Q22" s="5">
        <v>46034</v>
      </c>
      <c r="R22" s="5">
        <v>46038</v>
      </c>
      <c r="S22" s="7" t="s">
        <v>8</v>
      </c>
    </row>
    <row r="23" spans="2:28" x14ac:dyDescent="0.3">
      <c r="B23" s="4" t="s">
        <v>21</v>
      </c>
      <c r="C23" s="4">
        <v>20</v>
      </c>
      <c r="D23" s="4">
        <v>45</v>
      </c>
      <c r="E23" s="19">
        <v>70</v>
      </c>
      <c r="F23" s="19">
        <v>65</v>
      </c>
      <c r="H23" s="10"/>
      <c r="J23" s="1"/>
      <c r="O23" s="6" t="s">
        <v>1</v>
      </c>
      <c r="P23" s="2">
        <v>440</v>
      </c>
      <c r="Q23" s="2">
        <v>455</v>
      </c>
      <c r="R23" s="2">
        <v>505</v>
      </c>
      <c r="S23" s="3" t="s">
        <v>15</v>
      </c>
      <c r="W23" t="s">
        <v>25</v>
      </c>
    </row>
    <row r="24" spans="2:28" x14ac:dyDescent="0.3">
      <c r="B24" s="4" t="s">
        <v>5</v>
      </c>
      <c r="C24" s="4">
        <v>18</v>
      </c>
      <c r="D24" s="4">
        <v>40</v>
      </c>
      <c r="E24" s="19">
        <v>65</v>
      </c>
      <c r="F24" s="19">
        <v>65</v>
      </c>
      <c r="H24" s="10"/>
      <c r="J24" s="1"/>
      <c r="O24" s="6" t="s">
        <v>0</v>
      </c>
      <c r="P24" s="2">
        <v>425</v>
      </c>
      <c r="Q24" s="2">
        <v>429</v>
      </c>
      <c r="R24" s="2">
        <v>445</v>
      </c>
      <c r="S24" s="3" t="s">
        <v>15</v>
      </c>
    </row>
    <row r="25" spans="2:28" x14ac:dyDescent="0.3">
      <c r="B25" s="4" t="s">
        <v>6</v>
      </c>
      <c r="C25" s="4">
        <v>18</v>
      </c>
      <c r="D25" s="4">
        <v>50</v>
      </c>
      <c r="E25" s="19">
        <v>75</v>
      </c>
      <c r="F25" s="19">
        <v>65</v>
      </c>
      <c r="H25" s="1"/>
      <c r="J25" s="1"/>
      <c r="O25" s="6" t="s">
        <v>2</v>
      </c>
      <c r="P25" s="2">
        <v>479</v>
      </c>
      <c r="Q25" s="2">
        <v>510</v>
      </c>
      <c r="R25" s="2">
        <v>540</v>
      </c>
      <c r="S25" s="3" t="s">
        <v>15</v>
      </c>
    </row>
    <row r="26" spans="2:28" x14ac:dyDescent="0.3">
      <c r="B26" s="4" t="s">
        <v>7</v>
      </c>
      <c r="C26" s="4">
        <v>40</v>
      </c>
      <c r="D26" s="4">
        <v>60</v>
      </c>
      <c r="E26" s="19">
        <v>85</v>
      </c>
      <c r="F26" s="19">
        <v>75</v>
      </c>
      <c r="H26" s="10"/>
      <c r="J26" s="10"/>
      <c r="O26" s="6" t="s">
        <v>3</v>
      </c>
      <c r="P26" s="2">
        <v>450</v>
      </c>
      <c r="Q26" s="2">
        <v>445</v>
      </c>
      <c r="R26" s="2">
        <v>460</v>
      </c>
      <c r="S26" s="3" t="s">
        <v>15</v>
      </c>
    </row>
    <row r="27" spans="2:28" x14ac:dyDescent="0.3">
      <c r="O27" s="6"/>
      <c r="P27" s="2"/>
      <c r="Q27" s="2"/>
      <c r="R27" s="2"/>
      <c r="S27" s="2"/>
    </row>
    <row r="28" spans="2:28" x14ac:dyDescent="0.3">
      <c r="B28" s="12" t="s">
        <v>16</v>
      </c>
    </row>
    <row r="29" spans="2:28" ht="21" customHeight="1" x14ac:dyDescent="0.3">
      <c r="B29" s="20" t="s">
        <v>57</v>
      </c>
      <c r="C29" s="21"/>
      <c r="D29" s="21"/>
      <c r="E29" s="21"/>
      <c r="F29" s="21"/>
      <c r="G29" s="21"/>
      <c r="H29" s="21"/>
      <c r="I29" s="21"/>
      <c r="J29" s="21"/>
      <c r="K29" s="21"/>
      <c r="L29" s="21"/>
      <c r="M29" s="21"/>
      <c r="O29" s="14" t="s">
        <v>35</v>
      </c>
      <c r="P29" s="15"/>
      <c r="Q29" s="15"/>
      <c r="R29" s="15"/>
      <c r="S29" s="15"/>
      <c r="T29" s="15"/>
      <c r="U29" s="15"/>
      <c r="V29" s="15"/>
      <c r="W29" s="15"/>
      <c r="X29" s="15"/>
      <c r="Y29" s="15"/>
      <c r="Z29" s="15"/>
      <c r="AA29" s="15"/>
      <c r="AB29" s="15"/>
    </row>
    <row r="30" spans="2:28" x14ac:dyDescent="0.3">
      <c r="B30" s="20" t="s">
        <v>58</v>
      </c>
      <c r="C30" s="21"/>
      <c r="D30" s="21"/>
      <c r="E30" s="21"/>
      <c r="F30" s="21"/>
      <c r="G30" s="21"/>
      <c r="H30" s="21"/>
      <c r="I30" s="21"/>
      <c r="J30" s="21"/>
      <c r="K30" s="21"/>
      <c r="L30" s="21"/>
      <c r="M30" s="21"/>
      <c r="O30" s="16" t="s">
        <v>50</v>
      </c>
      <c r="P30" s="15"/>
      <c r="Q30" s="15"/>
      <c r="R30" s="15"/>
      <c r="S30" s="15"/>
      <c r="T30" s="15"/>
      <c r="U30" s="15"/>
      <c r="V30" s="15"/>
      <c r="W30" s="15"/>
      <c r="X30" s="15"/>
      <c r="Y30" s="15"/>
      <c r="Z30" s="15"/>
      <c r="AA30" s="15"/>
      <c r="AB30" s="15"/>
    </row>
    <row r="31" spans="2:28" x14ac:dyDescent="0.3">
      <c r="B31" s="20" t="s">
        <v>32</v>
      </c>
      <c r="C31" s="21"/>
      <c r="D31" s="21"/>
      <c r="E31" s="21"/>
      <c r="F31" s="21"/>
      <c r="G31" s="21"/>
      <c r="H31" s="21"/>
      <c r="I31" s="21"/>
      <c r="J31" s="21"/>
      <c r="K31" s="21"/>
      <c r="L31" s="21"/>
      <c r="M31" s="21"/>
      <c r="O31" s="17" t="s">
        <v>36</v>
      </c>
      <c r="P31" s="15"/>
      <c r="Q31" s="15"/>
      <c r="R31" s="15"/>
      <c r="S31" s="15"/>
      <c r="T31" s="15"/>
      <c r="U31" s="15"/>
      <c r="V31" s="15"/>
      <c r="W31" s="15"/>
      <c r="X31" s="15"/>
      <c r="Y31" s="15"/>
      <c r="Z31" s="15"/>
      <c r="AA31" s="15"/>
      <c r="AB31" s="15"/>
    </row>
    <row r="32" spans="2:28" ht="13.9" customHeight="1" x14ac:dyDescent="0.3">
      <c r="O32" s="17" t="s">
        <v>37</v>
      </c>
      <c r="P32" s="15"/>
      <c r="Q32" s="15"/>
      <c r="R32" s="15"/>
      <c r="S32" s="15"/>
      <c r="T32" s="15"/>
      <c r="U32" s="15"/>
      <c r="V32" s="15"/>
      <c r="W32" s="15"/>
      <c r="X32" s="15"/>
      <c r="Y32" s="15"/>
      <c r="Z32" s="15"/>
      <c r="AA32" s="15"/>
      <c r="AB32" s="15"/>
    </row>
    <row r="33" spans="2:28" x14ac:dyDescent="0.3">
      <c r="B33" s="12" t="s">
        <v>18</v>
      </c>
      <c r="O33" s="17" t="s">
        <v>38</v>
      </c>
      <c r="P33" s="15"/>
      <c r="Q33" s="15"/>
      <c r="R33" s="15"/>
      <c r="S33" s="15"/>
      <c r="T33" s="15"/>
      <c r="U33" s="15"/>
      <c r="V33" s="15"/>
      <c r="W33" s="15"/>
      <c r="X33" s="15"/>
      <c r="Y33" s="15"/>
      <c r="Z33" s="15"/>
      <c r="AA33" s="15"/>
      <c r="AB33" s="15"/>
    </row>
    <row r="34" spans="2:28" x14ac:dyDescent="0.3">
      <c r="B34" s="11" t="s">
        <v>28</v>
      </c>
      <c r="O34" s="17" t="s">
        <v>39</v>
      </c>
      <c r="P34" s="15"/>
      <c r="Q34" s="15"/>
      <c r="R34" s="15"/>
      <c r="S34" s="15"/>
      <c r="T34" s="15"/>
      <c r="U34" s="15"/>
      <c r="V34" s="15"/>
      <c r="W34" s="15"/>
      <c r="X34" s="15"/>
      <c r="Y34" s="15"/>
      <c r="Z34" s="15"/>
      <c r="AA34" s="15"/>
      <c r="AB34" s="15"/>
    </row>
    <row r="35" spans="2:28" x14ac:dyDescent="0.3">
      <c r="B35" s="11" t="s">
        <v>30</v>
      </c>
      <c r="O35" s="14" t="s">
        <v>40</v>
      </c>
      <c r="P35" s="15"/>
      <c r="Q35" s="15"/>
      <c r="R35" s="15"/>
      <c r="S35" s="15"/>
      <c r="T35" s="15"/>
      <c r="U35" s="15"/>
      <c r="V35" s="15"/>
      <c r="W35" s="15"/>
      <c r="X35" s="15"/>
      <c r="Y35" s="15"/>
      <c r="Z35" s="15"/>
      <c r="AA35" s="15"/>
      <c r="AB35" s="15"/>
    </row>
    <row r="36" spans="2:28" x14ac:dyDescent="0.3">
      <c r="B36" s="11" t="s">
        <v>9</v>
      </c>
      <c r="O36" s="17" t="s">
        <v>41</v>
      </c>
      <c r="P36" s="15"/>
      <c r="Q36" s="15"/>
      <c r="R36" s="15"/>
      <c r="S36" s="15"/>
      <c r="T36" s="15"/>
      <c r="U36" s="15"/>
      <c r="V36" s="15"/>
      <c r="W36" s="15"/>
      <c r="X36" s="15"/>
      <c r="Y36" s="15"/>
      <c r="Z36" s="15"/>
      <c r="AA36" s="15"/>
      <c r="AB36" s="15"/>
    </row>
    <row r="37" spans="2:28" x14ac:dyDescent="0.3">
      <c r="B37" s="11" t="s">
        <v>27</v>
      </c>
      <c r="O37" s="17" t="s">
        <v>42</v>
      </c>
      <c r="P37" s="15"/>
      <c r="Q37" s="15"/>
      <c r="R37" s="15"/>
      <c r="S37" s="15"/>
      <c r="T37" s="15"/>
      <c r="U37" s="15"/>
      <c r="V37" s="15"/>
      <c r="W37" s="15"/>
      <c r="X37" s="15"/>
      <c r="Y37" s="15"/>
      <c r="Z37" s="15"/>
      <c r="AA37" s="15"/>
      <c r="AB37" s="15"/>
    </row>
    <row r="38" spans="2:28" x14ac:dyDescent="0.3">
      <c r="B38" s="11" t="s">
        <v>10</v>
      </c>
      <c r="O38" s="17" t="s">
        <v>43</v>
      </c>
      <c r="P38" s="15"/>
      <c r="Q38" s="15"/>
      <c r="R38" s="15"/>
      <c r="S38" s="15"/>
      <c r="T38" s="15"/>
      <c r="U38" s="15"/>
      <c r="V38" s="15"/>
      <c r="W38" s="15"/>
      <c r="X38" s="15"/>
      <c r="Y38" s="15"/>
      <c r="Z38" s="15"/>
      <c r="AA38" s="15"/>
      <c r="AB38" s="15"/>
    </row>
    <row r="39" spans="2:28" ht="9" customHeight="1" x14ac:dyDescent="0.3">
      <c r="B39" s="11"/>
      <c r="O39" s="14" t="s">
        <v>44</v>
      </c>
      <c r="P39" s="15"/>
      <c r="Q39" s="15"/>
      <c r="R39" s="15"/>
      <c r="S39" s="15"/>
      <c r="T39" s="15"/>
      <c r="U39" s="15"/>
      <c r="V39" s="15"/>
      <c r="W39" s="15"/>
      <c r="X39" s="15"/>
      <c r="Y39" s="15"/>
      <c r="Z39" s="15"/>
      <c r="AA39" s="15"/>
      <c r="AB39" s="15"/>
    </row>
    <row r="40" spans="2:28" ht="12.6" customHeight="1" x14ac:dyDescent="0.3">
      <c r="O40" s="18" t="s">
        <v>56</v>
      </c>
      <c r="P40" s="15"/>
      <c r="Q40" s="15"/>
      <c r="R40" s="15"/>
      <c r="S40" s="15"/>
      <c r="T40" s="15"/>
      <c r="U40" s="15"/>
      <c r="V40" s="15"/>
      <c r="W40" s="15"/>
      <c r="X40" s="15"/>
      <c r="Y40" s="15"/>
      <c r="Z40" s="15"/>
      <c r="AA40" s="15"/>
      <c r="AB40" s="15"/>
    </row>
    <row r="41" spans="2:28" x14ac:dyDescent="0.3">
      <c r="B41" s="12" t="s">
        <v>17</v>
      </c>
      <c r="O41" s="18" t="s">
        <v>45</v>
      </c>
      <c r="P41" s="15"/>
      <c r="Q41" s="15"/>
      <c r="R41" s="15"/>
      <c r="S41" s="15"/>
      <c r="T41" s="15"/>
      <c r="U41" s="15"/>
      <c r="V41" s="15"/>
      <c r="W41" s="15"/>
      <c r="X41" s="15"/>
      <c r="Y41" s="15"/>
      <c r="Z41" s="15"/>
      <c r="AA41" s="15"/>
      <c r="AB41" s="15"/>
    </row>
    <row r="42" spans="2:28" x14ac:dyDescent="0.3">
      <c r="B42" s="11" t="s">
        <v>19</v>
      </c>
      <c r="O42" s="18" t="s">
        <v>46</v>
      </c>
      <c r="P42" s="15"/>
      <c r="Q42" s="15"/>
      <c r="R42" s="15"/>
      <c r="S42" s="15"/>
      <c r="T42" s="15"/>
      <c r="U42" s="15"/>
      <c r="V42" s="15"/>
      <c r="W42" s="15"/>
      <c r="X42" s="15"/>
      <c r="Y42" s="15"/>
      <c r="Z42" s="15"/>
      <c r="AA42" s="15"/>
      <c r="AB42" s="15"/>
    </row>
    <row r="43" spans="2:28" x14ac:dyDescent="0.3">
      <c r="B43" s="11" t="s">
        <v>33</v>
      </c>
      <c r="O43" s="14" t="s">
        <v>47</v>
      </c>
      <c r="P43" s="15"/>
      <c r="Q43" s="15"/>
      <c r="R43" s="15"/>
      <c r="S43" s="15"/>
      <c r="T43" s="15"/>
      <c r="U43" s="15"/>
      <c r="V43" s="15"/>
      <c r="W43" s="15"/>
      <c r="X43" s="15"/>
      <c r="Y43" s="15"/>
      <c r="Z43" s="15"/>
      <c r="AA43" s="15"/>
      <c r="AB43" s="15"/>
    </row>
    <row r="44" spans="2:28" x14ac:dyDescent="0.3">
      <c r="B44" s="11" t="s">
        <v>34</v>
      </c>
      <c r="O44" s="17" t="s">
        <v>48</v>
      </c>
      <c r="P44" s="15"/>
      <c r="Q44" s="15"/>
      <c r="R44" s="15"/>
      <c r="S44" s="15"/>
      <c r="T44" s="15"/>
      <c r="U44" s="15"/>
      <c r="V44" s="15"/>
      <c r="W44" s="15"/>
      <c r="X44" s="15"/>
      <c r="Y44" s="15"/>
      <c r="Z44" s="15"/>
      <c r="AA44" s="15"/>
      <c r="AB44" s="15"/>
    </row>
    <row r="45" spans="2:28" x14ac:dyDescent="0.3">
      <c r="O45" s="17" t="s">
        <v>49</v>
      </c>
      <c r="P45" s="15"/>
      <c r="Q45" s="15"/>
      <c r="R45" s="15"/>
      <c r="S45" s="15"/>
      <c r="T45" s="15"/>
      <c r="U45" s="15"/>
      <c r="V45" s="15"/>
      <c r="W45" s="15"/>
      <c r="X45" s="15"/>
      <c r="Y45" s="15"/>
      <c r="Z45" s="15"/>
      <c r="AA45" s="15"/>
      <c r="AB45" s="15"/>
    </row>
    <row r="46" spans="2:28" x14ac:dyDescent="0.3">
      <c r="O46" s="16" t="s">
        <v>51</v>
      </c>
      <c r="P46" s="15"/>
      <c r="Q46" s="15"/>
      <c r="R46" s="15"/>
      <c r="S46" s="15"/>
      <c r="T46" s="15"/>
      <c r="U46" s="15"/>
      <c r="V46" s="15"/>
      <c r="W46" s="15"/>
      <c r="X46" s="15"/>
      <c r="Y46" s="15"/>
      <c r="Z46" s="15"/>
      <c r="AA46" s="15"/>
      <c r="AB46" s="15"/>
    </row>
    <row r="47" spans="2:28" x14ac:dyDescent="0.3">
      <c r="B47" s="11"/>
      <c r="O47" s="17" t="s">
        <v>52</v>
      </c>
      <c r="P47" s="15"/>
      <c r="Q47" s="15"/>
      <c r="R47" s="15"/>
      <c r="S47" s="15"/>
      <c r="T47" s="15"/>
      <c r="U47" s="15"/>
      <c r="V47" s="15"/>
      <c r="W47" s="15"/>
      <c r="X47" s="15"/>
      <c r="Y47" s="15"/>
      <c r="Z47" s="15"/>
      <c r="AA47" s="15"/>
      <c r="AB47" s="15"/>
    </row>
    <row r="48" spans="2:28" x14ac:dyDescent="0.3">
      <c r="B48" s="11"/>
      <c r="O48" s="17" t="s">
        <v>53</v>
      </c>
      <c r="P48" s="15"/>
      <c r="Q48" s="15"/>
      <c r="R48" s="15"/>
      <c r="S48" s="15"/>
      <c r="T48" s="15"/>
      <c r="U48" s="15"/>
      <c r="V48" s="15"/>
      <c r="W48" s="15"/>
      <c r="X48" s="15"/>
      <c r="Y48" s="15"/>
      <c r="Z48" s="15"/>
      <c r="AA48" s="15"/>
      <c r="AB48" s="15"/>
    </row>
    <row r="49" spans="2:28" x14ac:dyDescent="0.3">
      <c r="B49" s="11"/>
      <c r="O49" s="17" t="s">
        <v>54</v>
      </c>
      <c r="P49" s="15"/>
      <c r="Q49" s="15"/>
      <c r="R49" s="15"/>
      <c r="S49" s="15"/>
      <c r="T49" s="15"/>
      <c r="U49" s="15"/>
      <c r="V49" s="15"/>
      <c r="W49" s="15"/>
      <c r="X49" s="15"/>
      <c r="Y49" s="15"/>
      <c r="Z49" s="15"/>
      <c r="AA49" s="15"/>
      <c r="AB49" s="15"/>
    </row>
    <row r="50" spans="2:28" x14ac:dyDescent="0.3">
      <c r="O50" s="17" t="s">
        <v>55</v>
      </c>
      <c r="P50" s="15"/>
      <c r="Q50" s="15"/>
      <c r="R50" s="15"/>
      <c r="S50" s="15"/>
      <c r="T50" s="15"/>
      <c r="U50" s="15"/>
      <c r="V50" s="15"/>
      <c r="W50" s="15"/>
      <c r="X50" s="15"/>
      <c r="Y50" s="15"/>
      <c r="Z50" s="15"/>
      <c r="AA50" s="15"/>
      <c r="AB50" s="15"/>
    </row>
    <row r="52" spans="2:28" x14ac:dyDescent="0.3">
      <c r="B52" s="11"/>
    </row>
    <row r="53" spans="2:28" x14ac:dyDescent="0.3">
      <c r="B53" s="11"/>
    </row>
    <row r="54" spans="2:28" x14ac:dyDescent="0.3">
      <c r="B54" s="11"/>
    </row>
    <row r="57" spans="2:28" x14ac:dyDescent="0.3">
      <c r="O57" s="11"/>
    </row>
    <row r="58" spans="2:28" x14ac:dyDescent="0.3">
      <c r="O58" s="11"/>
    </row>
    <row r="59" spans="2:28" x14ac:dyDescent="0.3">
      <c r="O59" s="11"/>
    </row>
    <row r="60" spans="2:28" x14ac:dyDescent="0.3">
      <c r="O60" s="11"/>
    </row>
    <row r="62" spans="2:28" x14ac:dyDescent="0.3">
      <c r="O62" s="11"/>
    </row>
    <row r="63" spans="2:28" x14ac:dyDescent="0.3">
      <c r="O63" s="11"/>
    </row>
    <row r="66" spans="15:15" x14ac:dyDescent="0.3">
      <c r="O66" s="8"/>
    </row>
  </sheetData>
  <phoneticPr fontId="1"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DD41A-F98B-4F82-86A3-6EE66A3A7669}">
  <dimension ref="B22:W66"/>
  <sheetViews>
    <sheetView showGridLines="0" zoomScale="55" zoomScaleNormal="55" workbookViewId="0">
      <selection activeCell="V52" sqref="V52"/>
    </sheetView>
  </sheetViews>
  <sheetFormatPr defaultRowHeight="16.5" x14ac:dyDescent="0.3"/>
  <cols>
    <col min="2" max="2" width="12.25" bestFit="1" customWidth="1"/>
    <col min="3" max="5" width="10" bestFit="1" customWidth="1"/>
    <col min="6" max="6" width="13.5" customWidth="1"/>
    <col min="7" max="7" width="9.875" bestFit="1" customWidth="1"/>
    <col min="8" max="8" width="10" bestFit="1" customWidth="1"/>
    <col min="9" max="9" width="12.25" bestFit="1" customWidth="1"/>
    <col min="10" max="10" width="11.375" customWidth="1"/>
    <col min="11" max="11" width="10" bestFit="1" customWidth="1"/>
    <col min="12" max="12" width="7.875" bestFit="1" customWidth="1"/>
    <col min="13" max="13" width="7.875" customWidth="1"/>
    <col min="14" max="14" width="13.25" customWidth="1"/>
    <col min="15" max="15" width="12" customWidth="1"/>
    <col min="16" max="16" width="11" customWidth="1"/>
    <col min="17" max="17" width="10" bestFit="1" customWidth="1"/>
    <col min="18" max="18" width="12.125" customWidth="1"/>
    <col min="19" max="19" width="10.375" customWidth="1"/>
  </cols>
  <sheetData>
    <row r="22" spans="2:23" x14ac:dyDescent="0.3">
      <c r="B22" s="4"/>
      <c r="C22" s="5">
        <v>46020</v>
      </c>
      <c r="D22" s="5">
        <v>46027</v>
      </c>
      <c r="E22" s="5">
        <v>46034</v>
      </c>
      <c r="F22" s="7" t="s">
        <v>24</v>
      </c>
      <c r="H22" s="9"/>
      <c r="J22" s="9"/>
      <c r="O22" s="6" t="s">
        <v>4</v>
      </c>
      <c r="P22" s="5">
        <v>46020</v>
      </c>
      <c r="Q22" s="5">
        <v>46027</v>
      </c>
      <c r="R22" s="5">
        <v>46034</v>
      </c>
      <c r="S22" s="7" t="s">
        <v>8</v>
      </c>
    </row>
    <row r="23" spans="2:23" x14ac:dyDescent="0.3">
      <c r="B23" s="4" t="s">
        <v>21</v>
      </c>
      <c r="C23" s="4">
        <v>10</v>
      </c>
      <c r="D23" s="4">
        <v>20</v>
      </c>
      <c r="E23" s="4">
        <v>45</v>
      </c>
      <c r="F23" s="4">
        <v>40</v>
      </c>
      <c r="H23" s="10"/>
      <c r="J23" s="1"/>
      <c r="O23" s="6" t="s">
        <v>1</v>
      </c>
      <c r="P23" s="2">
        <v>433</v>
      </c>
      <c r="Q23" s="2">
        <v>440</v>
      </c>
      <c r="R23" s="2">
        <v>455</v>
      </c>
      <c r="S23" s="3" t="s">
        <v>15</v>
      </c>
      <c r="W23" t="s">
        <v>25</v>
      </c>
    </row>
    <row r="24" spans="2:23" x14ac:dyDescent="0.3">
      <c r="B24" s="4" t="s">
        <v>5</v>
      </c>
      <c r="C24" s="4">
        <v>15</v>
      </c>
      <c r="D24" s="4">
        <v>18</v>
      </c>
      <c r="E24" s="4">
        <v>40</v>
      </c>
      <c r="F24" s="4">
        <v>40</v>
      </c>
      <c r="H24" s="10"/>
      <c r="J24" s="1"/>
      <c r="O24" s="6" t="s">
        <v>0</v>
      </c>
      <c r="P24" s="2">
        <v>433</v>
      </c>
      <c r="Q24" s="2">
        <v>425</v>
      </c>
      <c r="R24" s="2">
        <v>429</v>
      </c>
      <c r="S24" s="3" t="s">
        <v>15</v>
      </c>
    </row>
    <row r="25" spans="2:23" x14ac:dyDescent="0.3">
      <c r="B25" s="4" t="s">
        <v>6</v>
      </c>
      <c r="C25" s="4">
        <v>13</v>
      </c>
      <c r="D25" s="4">
        <v>18</v>
      </c>
      <c r="E25" s="4">
        <v>50</v>
      </c>
      <c r="F25" s="4">
        <v>40</v>
      </c>
      <c r="H25" s="1"/>
      <c r="J25" s="1"/>
      <c r="O25" s="6" t="s">
        <v>2</v>
      </c>
      <c r="P25" s="2">
        <v>479</v>
      </c>
      <c r="Q25" s="2">
        <v>479</v>
      </c>
      <c r="R25" s="2">
        <v>510</v>
      </c>
      <c r="S25" s="3" t="s">
        <v>15</v>
      </c>
    </row>
    <row r="26" spans="2:23" x14ac:dyDescent="0.3">
      <c r="B26" s="4" t="s">
        <v>7</v>
      </c>
      <c r="C26" s="4">
        <v>30</v>
      </c>
      <c r="D26" s="4">
        <v>40</v>
      </c>
      <c r="E26" s="4">
        <v>60</v>
      </c>
      <c r="F26" s="4">
        <v>50</v>
      </c>
      <c r="H26" s="10"/>
      <c r="J26" s="10"/>
      <c r="O26" s="6" t="s">
        <v>3</v>
      </c>
      <c r="P26" s="2">
        <v>463</v>
      </c>
      <c r="Q26" s="2">
        <v>450</v>
      </c>
      <c r="R26" s="2">
        <v>445</v>
      </c>
      <c r="S26" s="3" t="s">
        <v>15</v>
      </c>
    </row>
    <row r="27" spans="2:23" x14ac:dyDescent="0.3">
      <c r="O27" s="6"/>
      <c r="P27" s="2"/>
      <c r="Q27" s="2"/>
      <c r="R27" s="2"/>
      <c r="S27" s="2"/>
    </row>
    <row r="28" spans="2:23" x14ac:dyDescent="0.3">
      <c r="B28" s="12" t="s">
        <v>16</v>
      </c>
    </row>
    <row r="29" spans="2:23" ht="21" customHeight="1" x14ac:dyDescent="0.3">
      <c r="B29" s="11" t="s">
        <v>29</v>
      </c>
      <c r="O29" s="1" t="s">
        <v>20</v>
      </c>
    </row>
    <row r="30" spans="2:23" x14ac:dyDescent="0.3">
      <c r="B30" s="11" t="s">
        <v>31</v>
      </c>
      <c r="O30" s="11" t="s">
        <v>11</v>
      </c>
    </row>
    <row r="31" spans="2:23" x14ac:dyDescent="0.3">
      <c r="B31" s="11" t="s">
        <v>32</v>
      </c>
      <c r="O31" s="11" t="s">
        <v>12</v>
      </c>
    </row>
    <row r="32" spans="2:23" ht="13.9" customHeight="1" x14ac:dyDescent="0.3">
      <c r="O32" s="11" t="s">
        <v>26</v>
      </c>
    </row>
    <row r="33" spans="2:15" x14ac:dyDescent="0.3">
      <c r="B33" s="12" t="s">
        <v>18</v>
      </c>
      <c r="O33" s="11" t="s">
        <v>13</v>
      </c>
    </row>
    <row r="34" spans="2:15" x14ac:dyDescent="0.3">
      <c r="B34" s="11" t="s">
        <v>28</v>
      </c>
      <c r="O34" s="11" t="s">
        <v>14</v>
      </c>
    </row>
    <row r="35" spans="2:15" x14ac:dyDescent="0.3">
      <c r="B35" s="11" t="s">
        <v>30</v>
      </c>
      <c r="O35" s="13" t="s">
        <v>22</v>
      </c>
    </row>
    <row r="36" spans="2:15" x14ac:dyDescent="0.3">
      <c r="B36" s="11" t="s">
        <v>9</v>
      </c>
      <c r="O36" s="13" t="s">
        <v>23</v>
      </c>
    </row>
    <row r="37" spans="2:15" x14ac:dyDescent="0.3">
      <c r="B37" s="11" t="s">
        <v>27</v>
      </c>
      <c r="O37" s="11"/>
    </row>
    <row r="38" spans="2:15" x14ac:dyDescent="0.3">
      <c r="B38" s="11" t="s">
        <v>10</v>
      </c>
      <c r="O38" s="11"/>
    </row>
    <row r="39" spans="2:15" x14ac:dyDescent="0.3">
      <c r="B39" s="11"/>
      <c r="O39" s="11"/>
    </row>
    <row r="40" spans="2:15" ht="12.6" customHeight="1" x14ac:dyDescent="0.3">
      <c r="O40" s="11"/>
    </row>
    <row r="41" spans="2:15" x14ac:dyDescent="0.3">
      <c r="B41" s="12" t="s">
        <v>17</v>
      </c>
    </row>
    <row r="42" spans="2:15" x14ac:dyDescent="0.3">
      <c r="B42" s="11" t="s">
        <v>19</v>
      </c>
      <c r="O42" s="1"/>
    </row>
    <row r="43" spans="2:15" x14ac:dyDescent="0.3">
      <c r="B43" s="11" t="s">
        <v>33</v>
      </c>
      <c r="O43" s="11"/>
    </row>
    <row r="44" spans="2:15" x14ac:dyDescent="0.3">
      <c r="B44" s="11" t="s">
        <v>34</v>
      </c>
      <c r="O44" s="11"/>
    </row>
    <row r="45" spans="2:15" x14ac:dyDescent="0.3">
      <c r="O45" s="11"/>
    </row>
    <row r="46" spans="2:15" x14ac:dyDescent="0.3">
      <c r="O46" s="11"/>
    </row>
    <row r="47" spans="2:15" x14ac:dyDescent="0.3">
      <c r="B47" s="11"/>
      <c r="O47" s="11"/>
    </row>
    <row r="48" spans="2:15" x14ac:dyDescent="0.3">
      <c r="B48" s="11"/>
    </row>
    <row r="49" spans="2:15" x14ac:dyDescent="0.3">
      <c r="B49" s="11"/>
    </row>
    <row r="52" spans="2:15" x14ac:dyDescent="0.3">
      <c r="B52" s="11"/>
    </row>
    <row r="53" spans="2:15" x14ac:dyDescent="0.3">
      <c r="B53" s="11"/>
    </row>
    <row r="54" spans="2:15" x14ac:dyDescent="0.3">
      <c r="B54" s="11"/>
    </row>
    <row r="57" spans="2:15" x14ac:dyDescent="0.3">
      <c r="O57" s="11"/>
    </row>
    <row r="58" spans="2:15" x14ac:dyDescent="0.3">
      <c r="O58" s="11"/>
    </row>
    <row r="59" spans="2:15" x14ac:dyDescent="0.3">
      <c r="O59" s="11"/>
    </row>
    <row r="60" spans="2:15" x14ac:dyDescent="0.3">
      <c r="O60" s="11"/>
    </row>
    <row r="62" spans="2:15" x14ac:dyDescent="0.3">
      <c r="O62" s="11"/>
    </row>
    <row r="63" spans="2:15" x14ac:dyDescent="0.3">
      <c r="O63" s="11"/>
    </row>
    <row r="66" spans="15:15" x14ac:dyDescent="0.3">
      <c r="O66" s="8"/>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21</vt:i4>
      </vt:variant>
    </vt:vector>
  </HeadingPairs>
  <TitlesOfParts>
    <vt:vector size="21" baseType="lpstr">
      <vt:lpstr>26.08.11 보고자료</vt:lpstr>
      <vt:lpstr>26.08.04 보고자료</vt:lpstr>
      <vt:lpstr>26.06.09 보고자료</vt:lpstr>
      <vt:lpstr>26.06.02 보고자료</vt:lpstr>
      <vt:lpstr>26.05.25 보고자료 (수정중</vt:lpstr>
      <vt:lpstr>26.05.25 보고자료 (수정중)</vt:lpstr>
      <vt:lpstr>26.05.18 보고자료 (수정중)</vt:lpstr>
      <vt:lpstr>26.05.05 보고자료 (수정중)</vt:lpstr>
      <vt:lpstr>26.04.28 보고자료 (수정중)</vt:lpstr>
      <vt:lpstr>26.04.21 보고자료 (수정중)</vt:lpstr>
      <vt:lpstr>26.04.14 보고자료 (수정중)</vt:lpstr>
      <vt:lpstr>26.04.06 보고자료 (수정중)</vt:lpstr>
      <vt:lpstr>26.03.23 보고자료 (수정중)</vt:lpstr>
      <vt:lpstr>26.03.17 보고자료 (수정중)</vt:lpstr>
      <vt:lpstr>26.03.03 보고자료 (수정중)</vt:lpstr>
      <vt:lpstr>26.02.24 보고자료 (수정중)</vt:lpstr>
      <vt:lpstr>26.02.10 보고자료 (수정중)</vt:lpstr>
      <vt:lpstr>26.02.03 보고자료 (수정중)</vt:lpstr>
      <vt:lpstr>26.01.27 보고자료 (수정중)</vt:lpstr>
      <vt:lpstr>26.01.20 보고자료</vt:lpstr>
      <vt:lpstr>26.01.13 보고자료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곽민석 - Minseok Kwak</dc:creator>
  <cp:lastModifiedBy>곽민석 - Minseok Kwak</cp:lastModifiedBy>
  <dcterms:created xsi:type="dcterms:W3CDTF">2026-01-11T11:59:28Z</dcterms:created>
  <dcterms:modified xsi:type="dcterms:W3CDTF">2026-08-11T08:37:54Z</dcterms:modified>
</cp:coreProperties>
</file>